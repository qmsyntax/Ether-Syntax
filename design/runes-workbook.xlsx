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ffinities" sheetId="2" state="visible" r:id="rId2"/>
    <sheet xmlns:r="http://schemas.openxmlformats.org/officeDocument/2006/relationships" name="Base Runes" sheetId="3" state="visible" r:id="rId3"/>
    <sheet xmlns:r="http://schemas.openxmlformats.org/officeDocument/2006/relationships" name="Universal Runes" sheetId="4" state="visible" r:id="rId4"/>
    <sheet xmlns:r="http://schemas.openxmlformats.org/officeDocument/2006/relationships" name="Water" sheetId="5" state="visible" r:id="rId5"/>
    <sheet xmlns:r="http://schemas.openxmlformats.org/officeDocument/2006/relationships" name="Fire" sheetId="6" state="visible" r:id="rId6"/>
    <sheet xmlns:r="http://schemas.openxmlformats.org/officeDocument/2006/relationships" name="Earth" sheetId="7" state="visible" r:id="rId7"/>
    <sheet xmlns:r="http://schemas.openxmlformats.org/officeDocument/2006/relationships" name="Wind" sheetId="8" state="visible" r:id="rId8"/>
    <sheet xmlns:r="http://schemas.openxmlformats.org/officeDocument/2006/relationships" name="Lightning" sheetId="9" state="visible" r:id="rId9"/>
    <sheet xmlns:r="http://schemas.openxmlformats.org/officeDocument/2006/relationships" name="Ice" sheetId="10" state="visible" r:id="rId10"/>
    <sheet xmlns:r="http://schemas.openxmlformats.org/officeDocument/2006/relationships" name="Dark" sheetId="11" state="visible" r:id="rId11"/>
    <sheet xmlns:r="http://schemas.openxmlformats.org/officeDocument/2006/relationships" name="Metal" sheetId="12" state="visible" r:id="rId12"/>
    <sheet xmlns:r="http://schemas.openxmlformats.org/officeDocument/2006/relationships" name="Blood" sheetId="13" state="visible" r:id="rId13"/>
    <sheet xmlns:r="http://schemas.openxmlformats.org/officeDocument/2006/relationships" name="Life" sheetId="14" state="visible" r:id="rId14"/>
    <sheet xmlns:r="http://schemas.openxmlformats.org/officeDocument/2006/relationships" name="Death" sheetId="15" state="visible" r:id="rId15"/>
    <sheet xmlns:r="http://schemas.openxmlformats.org/officeDocument/2006/relationships" name="Nature" sheetId="16" state="visible" r:id="rId16"/>
    <sheet xmlns:r="http://schemas.openxmlformats.org/officeDocument/2006/relationships" name="Light" sheetId="17" state="visible" r:id="rId17"/>
    <sheet xmlns:r="http://schemas.openxmlformats.org/officeDocument/2006/relationships" name="Dream" sheetId="18" state="visible" r:id="rId18"/>
    <sheet xmlns:r="http://schemas.openxmlformats.org/officeDocument/2006/relationships" name="Poison" sheetId="19" state="visible" r:id="rId19"/>
    <sheet xmlns:r="http://schemas.openxmlformats.org/officeDocument/2006/relationships" name="Disease" sheetId="20" state="visible" r:id="rId20"/>
  </sheets>
  <definedNames>
    <definedName name="_xlnm._FilterDatabase" localSheetId="2" hidden="1">'Base Runes'!$A$1:$J$167</definedName>
    <definedName name="_xlnm._FilterDatabase" localSheetId="3" hidden="1">'Universal Runes'!$A$1:$G$57</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FFFFFF"/>
      <sz val="10"/>
    </font>
    <font>
      <name val="Arial"/>
      <b val="1"/>
      <sz val="16"/>
    </font>
    <font>
      <name val="Arial"/>
      <b val="1"/>
      <sz val="11"/>
    </font>
    <font>
      <name val="Arial"/>
      <i val="1"/>
      <color rgb="00555555"/>
      <sz val="10"/>
    </font>
    <font>
      <name val="Arial"/>
      <sz val="10"/>
    </font>
    <font>
      <name val="Arial"/>
      <color rgb="000000FF"/>
      <sz val="10"/>
    </font>
    <font>
      <name val="Arial"/>
      <b val="1"/>
      <color rgb="00008000"/>
      <sz val="10"/>
    </font>
    <font>
      <name val="Segoe UI Historic"/>
      <color rgb="00008000"/>
      <sz val="18"/>
    </font>
    <font>
      <name val="Arial"/>
      <color rgb="00008000"/>
      <sz val="10"/>
    </font>
    <font>
      <name val="Segoe UI Symbol"/>
      <color rgb="00008000"/>
      <sz val="18"/>
    </font>
    <font>
      <name val="Segoe UI Historic"/>
      <color rgb="000000FF"/>
      <sz val="18"/>
    </font>
    <font>
      <name val="Arial"/>
      <color rgb="00000000"/>
      <sz val="10"/>
    </font>
    <font>
      <name val="Segoe UI Historic"/>
      <color rgb="00000000"/>
      <sz val="18"/>
    </font>
    <font>
      <name val="Segoe UI Symbol"/>
      <color rgb="000000FF"/>
      <sz val="18"/>
    </font>
    <font>
      <name val="Segoe UI Symbol"/>
      <color rgb="00000000"/>
      <sz val="18"/>
    </font>
    <font>
      <name val="Arial"/>
      <b val="1"/>
      <sz val="10"/>
    </font>
    <font>
      <name val="Arial"/>
      <color rgb="000563C1"/>
      <sz val="10"/>
      <u val="single"/>
    </font>
  </fonts>
  <fills count="4">
    <fill>
      <patternFill/>
    </fill>
    <fill>
      <patternFill patternType="gray125"/>
    </fill>
    <fill>
      <patternFill patternType="solid">
        <fgColor rgb="002F2A24"/>
      </patternFill>
    </fill>
    <fill>
      <patternFill patternType="solid">
        <fgColor rgb="00FFFF00"/>
      </patternFill>
    </fill>
  </fills>
  <borders count="2">
    <border>
      <left/>
      <right/>
      <top/>
      <bottom/>
      <diagonal/>
    </border>
    <border>
      <bottom style="thin">
        <color rgb="00D0D0D0"/>
      </bottom>
    </border>
  </borders>
  <cellStyleXfs count="1">
    <xf numFmtId="0" fontId="0" fillId="0" borderId="0"/>
  </cellStyleXfs>
  <cellXfs count="32">
    <xf numFmtId="0" fontId="0" fillId="0" borderId="0" pivotButton="0" quotePrefix="0" xfId="0"/>
    <xf numFmtId="0" fontId="2"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xf numFmtId="0" fontId="6" fillId="0" borderId="0" applyAlignment="1" pivotButton="0" quotePrefix="0" xfId="0">
      <alignment vertical="top" wrapText="1"/>
    </xf>
    <xf numFmtId="0" fontId="9" fillId="0" borderId="0" applyAlignment="1" pivotButton="0" quotePrefix="0" xfId="0">
      <alignment vertical="top" wrapText="1"/>
    </xf>
    <xf numFmtId="0" fontId="12" fillId="0" borderId="0" applyAlignment="1" pivotButton="0" quotePrefix="0" xfId="0">
      <alignment vertical="top" wrapText="1"/>
    </xf>
    <xf numFmtId="0" fontId="1" fillId="2" borderId="0" applyAlignment="1" pivotButton="0" quotePrefix="0" xfId="0">
      <alignment vertical="center" wrapText="1"/>
    </xf>
    <xf numFmtId="0" fontId="16" fillId="0" borderId="1" applyAlignment="1" pivotButton="0" quotePrefix="0" xfId="0">
      <alignment vertical="top" wrapText="1"/>
    </xf>
    <xf numFmtId="0" fontId="6" fillId="0" borderId="1" applyAlignment="1" pivotButton="0" quotePrefix="0" xfId="0">
      <alignment vertical="top" wrapText="1"/>
    </xf>
    <xf numFmtId="0" fontId="9" fillId="0" borderId="1" applyAlignment="1" pivotButton="0" quotePrefix="0" xfId="0">
      <alignment vertical="top" wrapText="1"/>
    </xf>
    <xf numFmtId="0" fontId="12" fillId="0" borderId="1" applyAlignment="1" pivotButton="0" quotePrefix="0" xfId="0">
      <alignment vertical="top" wrapText="1"/>
    </xf>
    <xf numFmtId="0" fontId="17" fillId="0" borderId="1" applyAlignment="1" pivotButton="0" quotePrefix="0" xfId="0">
      <alignment vertical="top" wrapText="1"/>
    </xf>
    <xf numFmtId="0" fontId="16" fillId="0" borderId="0" pivotButton="0" quotePrefix="0" xfId="0"/>
    <xf numFmtId="0" fontId="6" fillId="0" borderId="0" pivotButton="0" quotePrefix="0" xfId="0"/>
    <xf numFmtId="0" fontId="6" fillId="0" borderId="1" applyAlignment="1" pivotButton="0" quotePrefix="0" xfId="0">
      <alignment vertical="center"/>
    </xf>
    <xf numFmtId="0" fontId="11" fillId="0" borderId="1" applyAlignment="1" pivotButton="0" quotePrefix="0" xfId="0">
      <alignment horizontal="center" vertical="center"/>
    </xf>
    <xf numFmtId="0" fontId="12" fillId="0" borderId="1" applyAlignment="1" pivotButton="0" quotePrefix="0" xfId="0">
      <alignment vertical="center"/>
    </xf>
    <xf numFmtId="0" fontId="13" fillId="0" borderId="1" applyAlignment="1" pivotButton="0" quotePrefix="0" xfId="0">
      <alignment horizontal="center" vertical="center"/>
    </xf>
    <xf numFmtId="0" fontId="9" fillId="0" borderId="1" applyAlignment="1" pivotButton="0" quotePrefix="0" xfId="0">
      <alignment vertical="center" wrapText="1"/>
    </xf>
    <xf numFmtId="0" fontId="5" fillId="0" borderId="1" applyAlignment="1" pivotButton="0" quotePrefix="0" xfId="0">
      <alignmen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0" fontId="6" fillId="0" borderId="1" applyAlignment="1" pivotButton="0" quotePrefix="0" xfId="0">
      <alignment vertical="center" wrapText="1"/>
    </xf>
    <xf numFmtId="0" fontId="2" fillId="0" borderId="0" pivotButton="0" quotePrefix="0" xfId="0"/>
    <xf numFmtId="0" fontId="5"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horizontal="center" vertical="center"/>
    </xf>
    <xf numFmtId="0" fontId="4" fillId="0" borderId="0" pivotButton="0" quotePrefix="0" xfId="0"/>
    <xf numFmtId="0" fontId="6" fillId="3" borderId="1" applyAlignment="1" pivotButton="0" quotePrefix="0" xfId="0">
      <alignment vertical="top" wrapText="1"/>
    </xf>
    <xf numFmtId="0" fontId="1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Claude</author>
  </authors>
  <commentList>
    <comment ref="E1" authorId="0" shapeId="0">
      <text>
        <t>Placeholder glyphs: the Runic block (Segoe UI Historic) for the five affinities in the game, Alchemical Symbols (Segoe UI Symbol) for the rest. Type any character to replace one; the affinity sheets follow.</t>
      </text>
    </comment>
    <comment ref="J1" authorId="0" shapeId="0">
      <text>
        <t>Static: the code point the character had when the workbook was made. It does not change if you type a new character.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Water'!A1" TargetMode="External" Id="rId1"/><Relationship Type="http://schemas.openxmlformats.org/officeDocument/2006/relationships/hyperlink" Target="#'Fire'!A1" TargetMode="External" Id="rId2"/><Relationship Type="http://schemas.openxmlformats.org/officeDocument/2006/relationships/hyperlink" Target="#'Earth'!A1" TargetMode="External" Id="rId3"/><Relationship Type="http://schemas.openxmlformats.org/officeDocument/2006/relationships/hyperlink" Target="#'Wind'!A1" TargetMode="External" Id="rId4"/><Relationship Type="http://schemas.openxmlformats.org/officeDocument/2006/relationships/hyperlink" Target="#'Lightning'!A1" TargetMode="External" Id="rId5"/><Relationship Type="http://schemas.openxmlformats.org/officeDocument/2006/relationships/hyperlink" Target="#'Ice'!A1" TargetMode="External" Id="rId6"/><Relationship Type="http://schemas.openxmlformats.org/officeDocument/2006/relationships/hyperlink" Target="#'Dark'!A1" TargetMode="External" Id="rId7"/><Relationship Type="http://schemas.openxmlformats.org/officeDocument/2006/relationships/hyperlink" Target="#'Metal'!A1" TargetMode="External" Id="rId8"/><Relationship Type="http://schemas.openxmlformats.org/officeDocument/2006/relationships/hyperlink" Target="#'Blood'!A1" TargetMode="External" Id="rId9"/><Relationship Type="http://schemas.openxmlformats.org/officeDocument/2006/relationships/hyperlink" Target="#'Life'!A1" TargetMode="External" Id="rId10"/><Relationship Type="http://schemas.openxmlformats.org/officeDocument/2006/relationships/hyperlink" Target="#'Death'!A1" TargetMode="External" Id="rId11"/><Relationship Type="http://schemas.openxmlformats.org/officeDocument/2006/relationships/hyperlink" Target="#'Nature'!A1" TargetMode="External" Id="rId12"/><Relationship Type="http://schemas.openxmlformats.org/officeDocument/2006/relationships/hyperlink" Target="#'Light'!A1" TargetMode="External" Id="rId13"/><Relationship Type="http://schemas.openxmlformats.org/officeDocument/2006/relationships/hyperlink" Target="#'Dream'!A1" TargetMode="External" Id="rId14"/><Relationship Type="http://schemas.openxmlformats.org/officeDocument/2006/relationships/hyperlink" Target="#'Poison'!A1" TargetMode="External" Id="rId15"/><Relationship Type="http://schemas.openxmlformats.org/officeDocument/2006/relationships/hyperlink" Target="#'Disease'!A1" TargetMode="External" Id="rId16"/></Relationships>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20" customWidth="1" min="1" max="1"/>
  </cols>
  <sheetData>
    <row r="1">
      <c r="A1" s="1" t="inlineStr">
        <is>
          <t>Passage rune workbook</t>
        </is>
      </c>
    </row>
    <row r="2">
      <c r="A2" s="2" t="inlineStr">
        <is>
          <t>Made 2026-10-22 from design/14-rune-sets-v0.md and design/affinities/water.md. Nothing here is in the game yet.</t>
        </is>
      </c>
    </row>
    <row r="3">
      <c r="A3" s="3" t="inlineStr"/>
    </row>
    <row r="4">
      <c r="A4" s="4" t="inlineStr">
        <is>
          <t>Sheets</t>
        </is>
      </c>
    </row>
    <row r="5">
      <c r="A5" s="3" t="inlineStr">
        <is>
          <t>Affinities: every affinity, its rule, status and rune count, with a link to its sheet. The proposed seven are listed below it.</t>
        </is>
      </c>
    </row>
    <row r="6">
      <c r="A6" s="3" t="inlineStr">
        <is>
          <t>Base Runes: every base rune in one list, with its character. This is where a rune's name and character live.</t>
        </is>
      </c>
    </row>
    <row r="7">
      <c r="A7" s="3" t="inlineStr">
        <is>
          <t>Universal Runes: the 28 universal pairs anyone can add to a skill, with characters.</t>
        </is>
      </c>
    </row>
    <row r="8">
      <c r="A8" s="3" t="inlineStr">
        <is>
          <t>One sheet per affinity: each rune as a skill, as a means, what it releases with its opposite, and the skills built on it.</t>
        </is>
      </c>
    </row>
    <row r="9">
      <c r="A9" s="3" t="inlineStr"/>
    </row>
    <row r="10">
      <c r="A10" s="4" t="inlineStr">
        <is>
          <t>Colours</t>
        </is>
      </c>
    </row>
    <row r="11">
      <c r="A11" s="5" t="inlineStr">
        <is>
          <t>Blue text: type here.</t>
        </is>
      </c>
    </row>
    <row r="12">
      <c r="A12" s="6" t="inlineStr">
        <is>
          <t>Green text: pulled from another sheet. Change it at its source (names and characters on Base Runes).</t>
        </is>
      </c>
    </row>
    <row r="13">
      <c r="A13" s="7" t="inlineStr">
        <is>
          <t>Black text: worked out on this sheet (opposites, counts).</t>
        </is>
      </c>
    </row>
    <row r="14">
      <c r="A14" s="3" t="inlineStr">
        <is>
          <t>Yellow fill: not written yet (water is the only affinity with its means and together columns filled).</t>
        </is>
      </c>
    </row>
    <row r="15">
      <c r="A15" s="3" t="inlineStr"/>
    </row>
    <row r="16">
      <c r="A16" s="4" t="inlineStr">
        <is>
          <t>Editing</t>
        </is>
      </c>
    </row>
    <row r="17">
      <c r="A17" s="3" t="inlineStr">
        <is>
          <t>Rename a rune or change its character on Base Runes; its affinity sheet and opposite follow.</t>
        </is>
      </c>
    </row>
    <row r="18">
      <c r="A18" s="3" t="inlineStr">
        <is>
          <t>Add a rune: add a row on Base Runes with a new ID (for example FIR-6a, with its opposite FIR-6b), then a row on the affinity sheet with the same ID.</t>
        </is>
      </c>
    </row>
    <row r="19">
      <c r="A19" s="3" t="inlineStr">
        <is>
          <t>IDs: three-letter affinity code, pair number, a or b. The two runes of a pair point at each other in Opposite ID.</t>
        </is>
      </c>
    </row>
    <row r="20">
      <c r="A20" s="3" t="inlineStr">
        <is>
          <t>Characters are placeholders: the Runic block (font Segoe UI Historic) for the five affinities already in the game, Alchemical Symbols (Segoe UI Symbol) for the rest, and assorted symbols for universal runes. Type any character over them. In the game the ethercosm will draw original glyphs.</t>
        </is>
      </c>
    </row>
    <row r="21">
      <c r="A21" s="3" t="inlineStr"/>
    </row>
    <row r="22">
      <c r="A22" s="4" t="inlineStr">
        <is>
          <t>Things to fix</t>
        </is>
      </c>
    </row>
    <row r="23">
      <c r="A23" s="3" t="inlineStr">
        <is>
          <t>Rune names used by more than one affinity: Raise. A rune name should be unique before this reaches the game.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0" customWidth="1" min="2" max="2"/>
    <col width="24" customWidth="1" min="3" max="3"/>
    <col width="40" customWidth="1" min="4" max="4"/>
    <col width="11" customWidth="1" min="5" max="5"/>
    <col width="8" customWidth="1" min="6" max="6"/>
    <col width="12" customWidth="1" min="7" max="7"/>
  </cols>
  <sheetData>
    <row r="1" ht="30" customHeight="1">
      <c r="A1" s="8" t="inlineStr">
        <is>
          <t>Affinity</t>
        </is>
      </c>
      <c r="B1" s="8" t="inlineStr">
        <is>
          <t>Rule</t>
        </is>
      </c>
      <c r="C1" s="8" t="inlineStr">
        <is>
          <t>Status</t>
        </is>
      </c>
      <c r="D1" s="8" t="inlineStr">
        <is>
          <t>Source</t>
        </is>
      </c>
      <c r="E1" s="8" t="inlineStr">
        <is>
          <t>Base runes</t>
        </is>
      </c>
      <c r="F1" s="8" t="inlineStr">
        <is>
          <t>Pairs</t>
        </is>
      </c>
      <c r="G1" s="8" t="inlineStr">
        <is>
          <t>Sheet</t>
        </is>
      </c>
    </row>
    <row r="2">
      <c r="A2" s="9" t="inlineStr">
        <is>
          <t>Water</t>
        </is>
      </c>
      <c r="B2" s="10" t="inlineStr">
        <is>
          <t>Moves bodies (shove and Crush); works the water that is already there (wetness)</t>
        </is>
      </c>
      <c r="C2" s="10" t="inlineStr">
        <is>
          <t>Deep dive v0</t>
        </is>
      </c>
      <c r="D2" s="10" t="inlineStr">
        <is>
          <t>existing (design/05); MODEL: wetness, from C</t>
        </is>
      </c>
      <c r="E2" s="11">
        <f>COUNTIF('Base Runes'!$B:$B,$A2)</f>
        <v/>
      </c>
      <c r="F2" s="12">
        <f>E2/2</f>
        <v/>
      </c>
      <c r="G2" s="13" t="inlineStr">
        <is>
          <t>Water</t>
        </is>
      </c>
    </row>
    <row r="3">
      <c r="A3" s="9" t="inlineStr">
        <is>
          <t>Fire</t>
        </is>
      </c>
      <c r="B3" s="10" t="inlineStr">
        <is>
          <t>Runs on its own heat</t>
        </is>
      </c>
      <c r="C3" s="10" t="inlineStr">
        <is>
          <t>First pass</t>
        </is>
      </c>
      <c r="D3" s="10" t="inlineStr"/>
      <c r="E3" s="11">
        <f>COUNTIF('Base Runes'!$B:$B,$A3)</f>
        <v/>
      </c>
      <c r="F3" s="12">
        <f>E3/2</f>
        <v/>
      </c>
      <c r="G3" s="13" t="inlineStr">
        <is>
          <t>Fire</t>
        </is>
      </c>
    </row>
    <row r="4">
      <c r="A4" s="9" t="inlineStr">
        <is>
          <t>Earth</t>
        </is>
      </c>
      <c r="B4" s="10" t="inlineStr">
        <is>
          <t>Builds stone that stays</t>
        </is>
      </c>
      <c r="C4" s="10" t="inlineStr">
        <is>
          <t>First pass</t>
        </is>
      </c>
      <c r="D4" s="10" t="inlineStr"/>
      <c r="E4" s="11">
        <f>COUNTIF('Base Runes'!$B:$B,$A4)</f>
        <v/>
      </c>
      <c r="F4" s="12">
        <f>E4/2</f>
        <v/>
      </c>
      <c r="G4" s="13" t="inlineStr">
        <is>
          <t>Earth</t>
        </is>
      </c>
    </row>
    <row r="5">
      <c r="A5" s="9" t="inlineStr">
        <is>
          <t>Wind</t>
        </is>
      </c>
      <c r="B5" s="10" t="inlineStr">
        <is>
          <t>Paid for by moving (Slipstream)</t>
        </is>
      </c>
      <c r="C5" s="10" t="inlineStr">
        <is>
          <t>First pass</t>
        </is>
      </c>
      <c r="D5" s="10" t="inlineStr"/>
      <c r="E5" s="11">
        <f>COUNTIF('Base Runes'!$B:$B,$A5)</f>
        <v/>
      </c>
      <c r="F5" s="12">
        <f>E5/2</f>
        <v/>
      </c>
      <c r="G5" s="13" t="inlineStr">
        <is>
          <t>Wind</t>
        </is>
      </c>
    </row>
    <row r="6">
      <c r="A6" s="9" t="inlineStr">
        <is>
          <t>Lightning</t>
        </is>
      </c>
      <c r="B6" s="10" t="inlineStr">
        <is>
          <t>Marks a target, then overloads it</t>
        </is>
      </c>
      <c r="C6" s="10" t="inlineStr">
        <is>
          <t>First pass</t>
        </is>
      </c>
      <c r="D6" s="10" t="inlineStr"/>
      <c r="E6" s="11">
        <f>COUNTIF('Base Runes'!$B:$B,$A6)</f>
        <v/>
      </c>
      <c r="F6" s="12">
        <f>E6/2</f>
        <v/>
      </c>
      <c r="G6" s="13" t="inlineStr">
        <is>
          <t>Lightning</t>
        </is>
      </c>
    </row>
    <row r="7">
      <c r="A7" s="9" t="inlineStr">
        <is>
          <t>Ice</t>
        </is>
      </c>
      <c r="B7" s="10" t="inlineStr">
        <is>
          <t>What it freezes stays frozen</t>
        </is>
      </c>
      <c r="C7" s="10" t="inlineStr">
        <is>
          <t>First pass (new 2026-10-22)</t>
        </is>
      </c>
      <c r="D7" s="10" t="inlineStr">
        <is>
          <t>B 2026-10-21: ice is its own affinity, taking water's Freeze; MODEL: the rule</t>
        </is>
      </c>
      <c r="E7" s="11">
        <f>COUNTIF('Base Runes'!$B:$B,$A7)</f>
        <v/>
      </c>
      <c r="F7" s="12">
        <f>E7/2</f>
        <v/>
      </c>
      <c r="G7" s="13" t="inlineStr">
        <is>
          <t>Ice</t>
        </is>
      </c>
    </row>
    <row r="8">
      <c r="A8" s="9" t="inlineStr">
        <is>
          <t>Dark</t>
        </is>
      </c>
      <c r="B8" s="10" t="inlineStr">
        <is>
          <t>Strongest where the light is weakest</t>
        </is>
      </c>
      <c r="C8" s="10" t="inlineStr">
        <is>
          <t>First pass (new 2026-10-22)</t>
        </is>
      </c>
      <c r="D8" s="10" t="inlineStr">
        <is>
          <t>B 2026-10-21: dark is an affinity; MODEL: the rule</t>
        </is>
      </c>
      <c r="E8" s="11">
        <f>COUNTIF('Base Runes'!$B:$B,$A8)</f>
        <v/>
      </c>
      <c r="F8" s="12">
        <f>E8/2</f>
        <v/>
      </c>
      <c r="G8" s="13" t="inlineStr">
        <is>
          <t>Dark</t>
        </is>
      </c>
    </row>
    <row r="9">
      <c r="A9" s="9" t="inlineStr">
        <is>
          <t>Metal</t>
        </is>
      </c>
      <c r="B9" s="10" t="inlineStr">
        <is>
          <t>Worn and carried metal is its material</t>
        </is>
      </c>
      <c r="C9" s="10" t="inlineStr">
        <is>
          <t>First pass</t>
        </is>
      </c>
      <c r="D9" s="10" t="inlineStr">
        <is>
          <t>MODEL</t>
        </is>
      </c>
      <c r="E9" s="11">
        <f>COUNTIF('Base Runes'!$B:$B,$A9)</f>
        <v/>
      </c>
      <c r="F9" s="12">
        <f>E9/2</f>
        <v/>
      </c>
      <c r="G9" s="13" t="inlineStr">
        <is>
          <t>Metal</t>
        </is>
      </c>
    </row>
    <row r="10">
      <c r="A10" s="9" t="inlineStr">
        <is>
          <t>Blood</t>
        </is>
      </c>
      <c r="B10" s="10" t="inlineStr">
        <is>
          <t>Works the blood that is already out</t>
        </is>
      </c>
      <c r="C10" s="10" t="inlineStr">
        <is>
          <t>First pass</t>
        </is>
      </c>
      <c r="D10" s="10" t="inlineStr">
        <is>
          <t>C: blood storage and blood-to-metal techniques exist; MODEL: the rule</t>
        </is>
      </c>
      <c r="E10" s="11">
        <f>COUNTIF('Base Runes'!$B:$B,$A10)</f>
        <v/>
      </c>
      <c r="F10" s="12">
        <f>E10/2</f>
        <v/>
      </c>
      <c r="G10" s="13" t="inlineStr">
        <is>
          <t>Blood</t>
        </is>
      </c>
    </row>
    <row r="11">
      <c r="A11" s="9" t="inlineStr">
        <is>
          <t>Life</t>
        </is>
      </c>
      <c r="B11" s="10" t="inlineStr">
        <is>
          <t>Works inside living bodies</t>
        </is>
      </c>
      <c r="C11" s="10" t="inlineStr">
        <is>
          <t>First pass</t>
        </is>
      </c>
      <c r="D11" s="10" t="inlineStr">
        <is>
          <t>C: life practitioners work inside a body, with consent; MODEL: the rule</t>
        </is>
      </c>
      <c r="E11" s="11">
        <f>COUNTIF('Base Runes'!$B:$B,$A11)</f>
        <v/>
      </c>
      <c r="F11" s="12">
        <f>E11/2</f>
        <v/>
      </c>
      <c r="G11" s="13" t="inlineStr">
        <is>
          <t>Life</t>
        </is>
      </c>
    </row>
    <row r="12">
      <c r="A12" s="9" t="inlineStr">
        <is>
          <t>Death</t>
        </is>
      </c>
      <c r="B12" s="10" t="inlineStr">
        <is>
          <t>What has died stays useful</t>
        </is>
      </c>
      <c r="C12" s="10" t="inlineStr">
        <is>
          <t>First pass</t>
        </is>
      </c>
      <c r="D12" s="10" t="inlineStr">
        <is>
          <t>C: death affinity and undeath exist; MODEL: the rule</t>
        </is>
      </c>
      <c r="E12" s="11">
        <f>COUNTIF('Base Runes'!$B:$B,$A12)</f>
        <v/>
      </c>
      <c r="F12" s="12">
        <f>E12/2</f>
        <v/>
      </c>
      <c r="G12" s="13" t="inlineStr">
        <is>
          <t>Death</t>
        </is>
      </c>
    </row>
    <row r="13">
      <c r="A13" s="9" t="inlineStr">
        <is>
          <t>Nature</t>
        </is>
      </c>
      <c r="B13" s="10" t="inlineStr">
        <is>
          <t>Grows from the ground and keeps growing</t>
        </is>
      </c>
      <c r="C13" s="10" t="inlineStr">
        <is>
          <t>First pass</t>
        </is>
      </c>
      <c r="D13" s="10" t="inlineStr">
        <is>
          <t>C: nature is named; MODEL: the rule</t>
        </is>
      </c>
      <c r="E13" s="11">
        <f>COUNTIF('Base Runes'!$B:$B,$A13)</f>
        <v/>
      </c>
      <c r="F13" s="12">
        <f>E13/2</f>
        <v/>
      </c>
      <c r="G13" s="13" t="inlineStr">
        <is>
          <t>Nature</t>
        </is>
      </c>
    </row>
    <row r="14">
      <c r="A14" s="9" t="inlineStr">
        <is>
          <t>Light</t>
        </is>
      </c>
      <c r="B14" s="10" t="inlineStr">
        <is>
          <t>Straight and instant; reveals the hidden</t>
        </is>
      </c>
      <c r="C14" s="10" t="inlineStr">
        <is>
          <t>First pass</t>
        </is>
      </c>
      <c r="D14" s="10" t="inlineStr">
        <is>
          <t>MODEL: the rule</t>
        </is>
      </c>
      <c r="E14" s="11">
        <f>COUNTIF('Base Runes'!$B:$B,$A14)</f>
        <v/>
      </c>
      <c r="F14" s="12">
        <f>E14/2</f>
        <v/>
      </c>
      <c r="G14" s="13" t="inlineStr">
        <is>
          <t>Light</t>
        </is>
      </c>
    </row>
    <row r="15">
      <c r="A15" s="9" t="inlineStr">
        <is>
          <t>Dream</t>
        </is>
      </c>
      <c r="B15" s="10" t="inlineStr">
        <is>
          <t>The mind</t>
        </is>
      </c>
      <c r="C15" s="10" t="inlineStr">
        <is>
          <t>First pass</t>
        </is>
      </c>
      <c r="D15" s="10" t="inlineStr">
        <is>
          <t>C: dream is a named, valued affinity; MODEL: the rule</t>
        </is>
      </c>
      <c r="E15" s="11">
        <f>COUNTIF('Base Runes'!$B:$B,$A15)</f>
        <v/>
      </c>
      <c r="F15" s="12">
        <f>E15/2</f>
        <v/>
      </c>
      <c r="G15" s="13" t="inlineStr">
        <is>
          <t>Dream</t>
        </is>
      </c>
    </row>
    <row r="16">
      <c r="A16" s="9" t="inlineStr">
        <is>
          <t>Poison</t>
        </is>
      </c>
      <c r="B16" s="10" t="inlineStr">
        <is>
          <t>Doses stack inside a body and come due later</t>
        </is>
      </c>
      <c r="C16" s="10" t="inlineStr">
        <is>
          <t>First pass</t>
        </is>
      </c>
      <c r="D16" s="10" t="inlineStr">
        <is>
          <t>MODEL: the rule</t>
        </is>
      </c>
      <c r="E16" s="11">
        <f>COUNTIF('Base Runes'!$B:$B,$A16)</f>
        <v/>
      </c>
      <c r="F16" s="12">
        <f>E16/2</f>
        <v/>
      </c>
      <c r="G16" s="13" t="inlineStr">
        <is>
          <t>Poison</t>
        </is>
      </c>
    </row>
    <row r="17">
      <c r="A17" s="9" t="inlineStr">
        <is>
          <t>Disease</t>
        </is>
      </c>
      <c r="B17" s="10" t="inlineStr">
        <is>
          <t>A cloud that only harms flesh</t>
        </is>
      </c>
      <c r="C17" s="10" t="inlineStr">
        <is>
          <t>First pass</t>
        </is>
      </c>
      <c r="D17" s="10" t="inlineStr">
        <is>
          <t>B 2026-10-21: renamed from Miasma; C: miasma is flesh-only and armour counters it; MODEL: the rest</t>
        </is>
      </c>
      <c r="E17" s="11">
        <f>COUNTIF('Base Runes'!$B:$B,$A17)</f>
        <v/>
      </c>
      <c r="F17" s="12">
        <f>E17/2</f>
        <v/>
      </c>
      <c r="G17" s="13" t="inlineStr">
        <is>
          <t>Disease</t>
        </is>
      </c>
    </row>
    <row r="18">
      <c r="A18" s="14" t="inlineStr">
        <is>
          <t>Total</t>
        </is>
      </c>
      <c r="E18" s="14">
        <f>SUM(E2:E17)</f>
        <v/>
      </c>
      <c r="F18" s="14">
        <f>SUM(F2:F17)</f>
        <v/>
      </c>
    </row>
    <row r="20">
      <c r="A20" s="14" t="inlineStr">
        <is>
          <t>Proposed, awaiting your yes or no (no sheets yet)</t>
        </is>
      </c>
    </row>
    <row r="21">
      <c r="A21" s="15" t="inlineStr">
        <is>
          <t>Sound</t>
        </is>
      </c>
      <c r="C21" s="15" t="inlineStr">
        <is>
          <t>Proposed</t>
        </is>
      </c>
    </row>
    <row r="22">
      <c r="A22" s="15" t="inlineStr">
        <is>
          <t>Gravity</t>
        </is>
      </c>
      <c r="C22" s="15" t="inlineStr">
        <is>
          <t>Proposed</t>
        </is>
      </c>
    </row>
    <row r="23">
      <c r="A23" s="15" t="inlineStr">
        <is>
          <t>Space</t>
        </is>
      </c>
      <c r="C23" s="15" t="inlineStr">
        <is>
          <t>Proposed</t>
        </is>
      </c>
    </row>
    <row r="24">
      <c r="A24" s="15" t="inlineStr">
        <is>
          <t>Time</t>
        </is>
      </c>
      <c r="C24" s="15" t="inlineStr">
        <is>
          <t>Proposed</t>
        </is>
      </c>
    </row>
    <row r="25">
      <c r="A25" s="15" t="inlineStr">
        <is>
          <t>Mind</t>
        </is>
      </c>
      <c r="C25" s="15" t="inlineStr">
        <is>
          <t>Proposed</t>
        </is>
      </c>
    </row>
    <row r="26">
      <c r="A26" s="15" t="inlineStr">
        <is>
          <t>Beast</t>
        </is>
      </c>
      <c r="C26" s="15" t="inlineStr">
        <is>
          <t>Proposed</t>
        </is>
      </c>
    </row>
    <row r="27">
      <c r="A27" s="15" t="inlineStr">
        <is>
          <t>Spirit</t>
        </is>
      </c>
      <c r="C27" s="15" t="inlineStr">
        <is>
          <t>Proposed</t>
        </is>
      </c>
    </row>
  </sheetData>
  <dataValidations count="1">
    <dataValidation sqref="C2:C28" showDropDown="0" showInputMessage="0" showErrorMessage="0" allowBlank="1" type="list">
      <formula1>"Deep dive v0,First pass,First pass (new 2026-10-22),Proposed,Approved,Cut"</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6" customWidth="1" min="3" max="3"/>
    <col width="16" customWidth="1" min="4" max="4"/>
    <col width="11" customWidth="1" min="5" max="5"/>
    <col width="11" customWidth="1" min="6" max="6"/>
    <col width="16" customWidth="1" min="7" max="7"/>
    <col width="11" customWidth="1" min="8" max="8"/>
    <col width="60" customWidth="1" min="9" max="9"/>
    <col width="14" customWidth="1" min="10" max="10"/>
  </cols>
  <sheetData>
    <row r="1" ht="30" customHeight="1">
      <c r="A1" s="8" t="inlineStr">
        <is>
          <t>ID</t>
        </is>
      </c>
      <c r="B1" s="8" t="inlineStr">
        <is>
          <t>Affinity</t>
        </is>
      </c>
      <c r="C1" s="8" t="inlineStr">
        <is>
          <t>Pair</t>
        </is>
      </c>
      <c r="D1" s="8" t="inlineStr">
        <is>
          <t>Rune</t>
        </is>
      </c>
      <c r="E1" s="8" t="inlineStr">
        <is>
          <t>Character</t>
        </is>
      </c>
      <c r="F1" s="8" t="inlineStr">
        <is>
          <t>Opposite ID</t>
        </is>
      </c>
      <c r="G1" s="8" t="inlineStr">
        <is>
          <t>Opposite</t>
        </is>
      </c>
      <c r="H1" s="8" t="inlineStr">
        <is>
          <t>Opposite character</t>
        </is>
      </c>
      <c r="I1" s="8" t="inlineStr">
        <is>
          <t>As a skill (from the affinity sheet)</t>
        </is>
      </c>
      <c r="J1" s="8" t="inlineStr">
        <is>
          <t>Code point as first assigned</t>
        </is>
      </c>
    </row>
    <row r="2" ht="24" customHeight="1">
      <c r="A2" s="16" t="inlineStr">
        <is>
          <t>WAT-1a</t>
        </is>
      </c>
      <c r="B2" s="16" t="inlineStr">
        <is>
          <t>Water</t>
        </is>
      </c>
      <c r="C2" s="16" t="n">
        <v>1</v>
      </c>
      <c r="D2" s="16" t="inlineStr">
        <is>
          <t>Surge</t>
        </is>
      </c>
      <c r="E2" s="17" t="inlineStr">
        <is>
          <t>ᚠ</t>
        </is>
      </c>
      <c r="F2" s="16" t="inlineStr">
        <is>
          <t>WAT-1b</t>
        </is>
      </c>
      <c r="G2" s="18">
        <f>IFERROR(INDEX($D:$D,MATCH($F2,$A:$A,0)),"")</f>
        <v/>
      </c>
      <c r="H2" s="19">
        <f>IFERROR(INDEX($E:$E,MATCH($F2,$A:$A,0)),"")</f>
        <v/>
      </c>
      <c r="I2" s="20">
        <f>Water!$E$6</f>
        <v/>
      </c>
      <c r="J2" s="21" t="inlineStr">
        <is>
          <t>U+16A0</t>
        </is>
      </c>
    </row>
    <row r="3" ht="24" customHeight="1">
      <c r="A3" s="16" t="inlineStr">
        <is>
          <t>WAT-1b</t>
        </is>
      </c>
      <c r="B3" s="16" t="inlineStr">
        <is>
          <t>Water</t>
        </is>
      </c>
      <c r="C3" s="16" t="n">
        <v>1</v>
      </c>
      <c r="D3" s="16" t="inlineStr">
        <is>
          <t>Ebb</t>
        </is>
      </c>
      <c r="E3" s="17" t="inlineStr">
        <is>
          <t>ᚡ</t>
        </is>
      </c>
      <c r="F3" s="16" t="inlineStr">
        <is>
          <t>WAT-1a</t>
        </is>
      </c>
      <c r="G3" s="18">
        <f>IFERROR(INDEX($D:$D,MATCH($F3,$A:$A,0)),"")</f>
        <v/>
      </c>
      <c r="H3" s="19">
        <f>IFERROR(INDEX($E:$E,MATCH($F3,$A:$A,0)),"")</f>
        <v/>
      </c>
      <c r="I3" s="20">
        <f>Water!$E$7</f>
        <v/>
      </c>
      <c r="J3" s="21" t="inlineStr">
        <is>
          <t>U+16A1</t>
        </is>
      </c>
    </row>
    <row r="4" ht="24" customHeight="1">
      <c r="A4" s="16" t="inlineStr">
        <is>
          <t>WAT-2a</t>
        </is>
      </c>
      <c r="B4" s="16" t="inlineStr">
        <is>
          <t>Water</t>
        </is>
      </c>
      <c r="C4" s="16" t="n">
        <v>2</v>
      </c>
      <c r="D4" s="16" t="inlineStr">
        <is>
          <t>Flow</t>
        </is>
      </c>
      <c r="E4" s="17" t="inlineStr">
        <is>
          <t>ᚢ</t>
        </is>
      </c>
      <c r="F4" s="16" t="inlineStr">
        <is>
          <t>WAT-2b</t>
        </is>
      </c>
      <c r="G4" s="18">
        <f>IFERROR(INDEX($D:$D,MATCH($F4,$A:$A,0)),"")</f>
        <v/>
      </c>
      <c r="H4" s="19">
        <f>IFERROR(INDEX($E:$E,MATCH($F4,$A:$A,0)),"")</f>
        <v/>
      </c>
      <c r="I4" s="20">
        <f>Water!$E$8</f>
        <v/>
      </c>
      <c r="J4" s="21" t="inlineStr">
        <is>
          <t>U+16A2</t>
        </is>
      </c>
    </row>
    <row r="5" ht="24" customHeight="1">
      <c r="A5" s="16" t="inlineStr">
        <is>
          <t>WAT-2b</t>
        </is>
      </c>
      <c r="B5" s="16" t="inlineStr">
        <is>
          <t>Water</t>
        </is>
      </c>
      <c r="C5" s="16" t="n">
        <v>2</v>
      </c>
      <c r="D5" s="16" t="inlineStr">
        <is>
          <t>Pool</t>
        </is>
      </c>
      <c r="E5" s="17" t="inlineStr">
        <is>
          <t>ᚣ</t>
        </is>
      </c>
      <c r="F5" s="16" t="inlineStr">
        <is>
          <t>WAT-2a</t>
        </is>
      </c>
      <c r="G5" s="18">
        <f>IFERROR(INDEX($D:$D,MATCH($F5,$A:$A,0)),"")</f>
        <v/>
      </c>
      <c r="H5" s="19">
        <f>IFERROR(INDEX($E:$E,MATCH($F5,$A:$A,0)),"")</f>
        <v/>
      </c>
      <c r="I5" s="20">
        <f>Water!$E$9</f>
        <v/>
      </c>
      <c r="J5" s="21" t="inlineStr">
        <is>
          <t>U+16A3</t>
        </is>
      </c>
    </row>
    <row r="6" ht="24" customHeight="1">
      <c r="A6" s="16" t="inlineStr">
        <is>
          <t>WAT-3a</t>
        </is>
      </c>
      <c r="B6" s="16" t="inlineStr">
        <is>
          <t>Water</t>
        </is>
      </c>
      <c r="C6" s="16" t="n">
        <v>3</v>
      </c>
      <c r="D6" s="16" t="inlineStr">
        <is>
          <t>Soak</t>
        </is>
      </c>
      <c r="E6" s="17" t="inlineStr">
        <is>
          <t>ᚤ</t>
        </is>
      </c>
      <c r="F6" s="16" t="inlineStr">
        <is>
          <t>WAT-3b</t>
        </is>
      </c>
      <c r="G6" s="18">
        <f>IFERROR(INDEX($D:$D,MATCH($F6,$A:$A,0)),"")</f>
        <v/>
      </c>
      <c r="H6" s="19">
        <f>IFERROR(INDEX($E:$E,MATCH($F6,$A:$A,0)),"")</f>
        <v/>
      </c>
      <c r="I6" s="20">
        <f>Water!$E$10</f>
        <v/>
      </c>
      <c r="J6" s="21" t="inlineStr">
        <is>
          <t>U+16A4</t>
        </is>
      </c>
    </row>
    <row r="7" ht="24" customHeight="1">
      <c r="A7" s="16" t="inlineStr">
        <is>
          <t>WAT-3b</t>
        </is>
      </c>
      <c r="B7" s="16" t="inlineStr">
        <is>
          <t>Water</t>
        </is>
      </c>
      <c r="C7" s="16" t="n">
        <v>3</v>
      </c>
      <c r="D7" s="16" t="inlineStr">
        <is>
          <t>Wring</t>
        </is>
      </c>
      <c r="E7" s="17" t="inlineStr">
        <is>
          <t>ᚥ</t>
        </is>
      </c>
      <c r="F7" s="16" t="inlineStr">
        <is>
          <t>WAT-3a</t>
        </is>
      </c>
      <c r="G7" s="18">
        <f>IFERROR(INDEX($D:$D,MATCH($F7,$A:$A,0)),"")</f>
        <v/>
      </c>
      <c r="H7" s="19">
        <f>IFERROR(INDEX($E:$E,MATCH($F7,$A:$A,0)),"")</f>
        <v/>
      </c>
      <c r="I7" s="20">
        <f>Water!$E$11</f>
        <v/>
      </c>
      <c r="J7" s="21" t="inlineStr">
        <is>
          <t>U+16A5</t>
        </is>
      </c>
    </row>
    <row r="8" ht="24" customHeight="1">
      <c r="A8" s="16" t="inlineStr">
        <is>
          <t>WAT-4a</t>
        </is>
      </c>
      <c r="B8" s="16" t="inlineStr">
        <is>
          <t>Water</t>
        </is>
      </c>
      <c r="C8" s="16" t="n">
        <v>4</v>
      </c>
      <c r="D8" s="16" t="inlineStr">
        <is>
          <t>Crush</t>
        </is>
      </c>
      <c r="E8" s="17" t="inlineStr">
        <is>
          <t>ᚦ</t>
        </is>
      </c>
      <c r="F8" s="16" t="inlineStr">
        <is>
          <t>WAT-4b</t>
        </is>
      </c>
      <c r="G8" s="18">
        <f>IFERROR(INDEX($D:$D,MATCH($F8,$A:$A,0)),"")</f>
        <v/>
      </c>
      <c r="H8" s="19">
        <f>IFERROR(INDEX($E:$E,MATCH($F8,$A:$A,0)),"")</f>
        <v/>
      </c>
      <c r="I8" s="20">
        <f>Water!$E$12</f>
        <v/>
      </c>
      <c r="J8" s="21" t="inlineStr">
        <is>
          <t>U+16A6</t>
        </is>
      </c>
    </row>
    <row r="9" ht="24" customHeight="1">
      <c r="A9" s="16" t="inlineStr">
        <is>
          <t>WAT-4b</t>
        </is>
      </c>
      <c r="B9" s="16" t="inlineStr">
        <is>
          <t>Water</t>
        </is>
      </c>
      <c r="C9" s="16" t="n">
        <v>4</v>
      </c>
      <c r="D9" s="16" t="inlineStr">
        <is>
          <t>Mist</t>
        </is>
      </c>
      <c r="E9" s="17" t="inlineStr">
        <is>
          <t>ᚧ</t>
        </is>
      </c>
      <c r="F9" s="16" t="inlineStr">
        <is>
          <t>WAT-4a</t>
        </is>
      </c>
      <c r="G9" s="18">
        <f>IFERROR(INDEX($D:$D,MATCH($F9,$A:$A,0)),"")</f>
        <v/>
      </c>
      <c r="H9" s="19">
        <f>IFERROR(INDEX($E:$E,MATCH($F9,$A:$A,0)),"")</f>
        <v/>
      </c>
      <c r="I9" s="20">
        <f>Water!$E$13</f>
        <v/>
      </c>
      <c r="J9" s="21" t="inlineStr">
        <is>
          <t>U+16A7</t>
        </is>
      </c>
    </row>
    <row r="10" ht="24" customHeight="1">
      <c r="A10" s="16" t="inlineStr">
        <is>
          <t>WAT-5a</t>
        </is>
      </c>
      <c r="B10" s="16" t="inlineStr">
        <is>
          <t>Water</t>
        </is>
      </c>
      <c r="C10" s="16" t="n">
        <v>5</v>
      </c>
      <c r="D10" s="16" t="inlineStr">
        <is>
          <t>Well</t>
        </is>
      </c>
      <c r="E10" s="17" t="inlineStr">
        <is>
          <t>ᚨ</t>
        </is>
      </c>
      <c r="F10" s="16" t="inlineStr">
        <is>
          <t>WAT-5b</t>
        </is>
      </c>
      <c r="G10" s="18">
        <f>IFERROR(INDEX($D:$D,MATCH($F10,$A:$A,0)),"")</f>
        <v/>
      </c>
      <c r="H10" s="19">
        <f>IFERROR(INDEX($E:$E,MATCH($F10,$A:$A,0)),"")</f>
        <v/>
      </c>
      <c r="I10" s="20">
        <f>Water!$E$14</f>
        <v/>
      </c>
      <c r="J10" s="21" t="inlineStr">
        <is>
          <t>U+16A8</t>
        </is>
      </c>
    </row>
    <row r="11" ht="24" customHeight="1">
      <c r="A11" s="16" t="inlineStr">
        <is>
          <t>WAT-5b</t>
        </is>
      </c>
      <c r="B11" s="16" t="inlineStr">
        <is>
          <t>Water</t>
        </is>
      </c>
      <c r="C11" s="16" t="n">
        <v>5</v>
      </c>
      <c r="D11" s="16" t="inlineStr">
        <is>
          <t>Dry</t>
        </is>
      </c>
      <c r="E11" s="17" t="inlineStr">
        <is>
          <t>ᚩ</t>
        </is>
      </c>
      <c r="F11" s="16" t="inlineStr">
        <is>
          <t>WAT-5a</t>
        </is>
      </c>
      <c r="G11" s="18">
        <f>IFERROR(INDEX($D:$D,MATCH($F11,$A:$A,0)),"")</f>
        <v/>
      </c>
      <c r="H11" s="19">
        <f>IFERROR(INDEX($E:$E,MATCH($F11,$A:$A,0)),"")</f>
        <v/>
      </c>
      <c r="I11" s="20">
        <f>Water!$E$15</f>
        <v/>
      </c>
      <c r="J11" s="21" t="inlineStr">
        <is>
          <t>U+16A9</t>
        </is>
      </c>
    </row>
    <row r="12" ht="24" customHeight="1">
      <c r="A12" s="16" t="inlineStr">
        <is>
          <t>WAT-6a</t>
        </is>
      </c>
      <c r="B12" s="16" t="inlineStr">
        <is>
          <t>Water</t>
        </is>
      </c>
      <c r="C12" s="16" t="n">
        <v>6</v>
      </c>
      <c r="D12" s="16" t="inlineStr">
        <is>
          <t>Mirror</t>
        </is>
      </c>
      <c r="E12" s="17" t="inlineStr">
        <is>
          <t>ᚪ</t>
        </is>
      </c>
      <c r="F12" s="16" t="inlineStr">
        <is>
          <t>WAT-6b</t>
        </is>
      </c>
      <c r="G12" s="18">
        <f>IFERROR(INDEX($D:$D,MATCH($F12,$A:$A,0)),"")</f>
        <v/>
      </c>
      <c r="H12" s="19">
        <f>IFERROR(INDEX($E:$E,MATCH($F12,$A:$A,0)),"")</f>
        <v/>
      </c>
      <c r="I12" s="20">
        <f>Water!$E$16</f>
        <v/>
      </c>
      <c r="J12" s="21" t="inlineStr">
        <is>
          <t>U+16AA</t>
        </is>
      </c>
    </row>
    <row r="13" ht="24" customHeight="1">
      <c r="A13" s="16" t="inlineStr">
        <is>
          <t>WAT-6b</t>
        </is>
      </c>
      <c r="B13" s="16" t="inlineStr">
        <is>
          <t>Water</t>
        </is>
      </c>
      <c r="C13" s="16" t="n">
        <v>6</v>
      </c>
      <c r="D13" s="16" t="inlineStr">
        <is>
          <t>Murk</t>
        </is>
      </c>
      <c r="E13" s="17" t="inlineStr">
        <is>
          <t>ᚫ</t>
        </is>
      </c>
      <c r="F13" s="16" t="inlineStr">
        <is>
          <t>WAT-6a</t>
        </is>
      </c>
      <c r="G13" s="18">
        <f>IFERROR(INDEX($D:$D,MATCH($F13,$A:$A,0)),"")</f>
        <v/>
      </c>
      <c r="H13" s="19">
        <f>IFERROR(INDEX($E:$E,MATCH($F13,$A:$A,0)),"")</f>
        <v/>
      </c>
      <c r="I13" s="20">
        <f>Water!$E$17</f>
        <v/>
      </c>
      <c r="J13" s="21" t="inlineStr">
        <is>
          <t>U+16AB</t>
        </is>
      </c>
    </row>
    <row r="14" ht="24" customHeight="1">
      <c r="A14" s="16" t="inlineStr">
        <is>
          <t>WAT-7a</t>
        </is>
      </c>
      <c r="B14" s="16" t="inlineStr">
        <is>
          <t>Water</t>
        </is>
      </c>
      <c r="C14" s="16" t="n">
        <v>7</v>
      </c>
      <c r="D14" s="16" t="inlineStr">
        <is>
          <t>Erode</t>
        </is>
      </c>
      <c r="E14" s="17" t="inlineStr">
        <is>
          <t>ᚬ</t>
        </is>
      </c>
      <c r="F14" s="16" t="inlineStr">
        <is>
          <t>WAT-7b</t>
        </is>
      </c>
      <c r="G14" s="18">
        <f>IFERROR(INDEX($D:$D,MATCH($F14,$A:$A,0)),"")</f>
        <v/>
      </c>
      <c r="H14" s="19">
        <f>IFERROR(INDEX($E:$E,MATCH($F14,$A:$A,0)),"")</f>
        <v/>
      </c>
      <c r="I14" s="20">
        <f>Water!$E$18</f>
        <v/>
      </c>
      <c r="J14" s="21" t="inlineStr">
        <is>
          <t>U+16AC</t>
        </is>
      </c>
    </row>
    <row r="15" ht="24" customHeight="1">
      <c r="A15" s="16" t="inlineStr">
        <is>
          <t>WAT-7b</t>
        </is>
      </c>
      <c r="B15" s="16" t="inlineStr">
        <is>
          <t>Water</t>
        </is>
      </c>
      <c r="C15" s="16" t="n">
        <v>7</v>
      </c>
      <c r="D15" s="16" t="inlineStr">
        <is>
          <t>Coat</t>
        </is>
      </c>
      <c r="E15" s="17" t="inlineStr">
        <is>
          <t>ᚭ</t>
        </is>
      </c>
      <c r="F15" s="16" t="inlineStr">
        <is>
          <t>WAT-7a</t>
        </is>
      </c>
      <c r="G15" s="18">
        <f>IFERROR(INDEX($D:$D,MATCH($F15,$A:$A,0)),"")</f>
        <v/>
      </c>
      <c r="H15" s="19">
        <f>IFERROR(INDEX($E:$E,MATCH($F15,$A:$A,0)),"")</f>
        <v/>
      </c>
      <c r="I15" s="20">
        <f>Water!$E$19</f>
        <v/>
      </c>
      <c r="J15" s="21" t="inlineStr">
        <is>
          <t>U+16AD</t>
        </is>
      </c>
    </row>
    <row r="16" ht="24" customHeight="1">
      <c r="A16" s="16" t="inlineStr">
        <is>
          <t>WAT-8a</t>
        </is>
      </c>
      <c r="B16" s="16" t="inlineStr">
        <is>
          <t>Water</t>
        </is>
      </c>
      <c r="C16" s="16" t="n">
        <v>8</v>
      </c>
      <c r="D16" s="16" t="inlineStr">
        <is>
          <t>Drown</t>
        </is>
      </c>
      <c r="E16" s="17" t="inlineStr">
        <is>
          <t>ᚮ</t>
        </is>
      </c>
      <c r="F16" s="16" t="inlineStr">
        <is>
          <t>WAT-8b</t>
        </is>
      </c>
      <c r="G16" s="18">
        <f>IFERROR(INDEX($D:$D,MATCH($F16,$A:$A,0)),"")</f>
        <v/>
      </c>
      <c r="H16" s="19">
        <f>IFERROR(INDEX($E:$E,MATCH($F16,$A:$A,0)),"")</f>
        <v/>
      </c>
      <c r="I16" s="20">
        <f>Water!$E$20</f>
        <v/>
      </c>
      <c r="J16" s="21" t="inlineStr">
        <is>
          <t>U+16AE</t>
        </is>
      </c>
    </row>
    <row r="17" ht="24" customHeight="1">
      <c r="A17" s="16" t="inlineStr">
        <is>
          <t>WAT-8b</t>
        </is>
      </c>
      <c r="B17" s="16" t="inlineStr">
        <is>
          <t>Water</t>
        </is>
      </c>
      <c r="C17" s="16" t="n">
        <v>8</v>
      </c>
      <c r="D17" s="16" t="inlineStr">
        <is>
          <t>Float</t>
        </is>
      </c>
      <c r="E17" s="17" t="inlineStr">
        <is>
          <t>ᚯ</t>
        </is>
      </c>
      <c r="F17" s="16" t="inlineStr">
        <is>
          <t>WAT-8a</t>
        </is>
      </c>
      <c r="G17" s="18">
        <f>IFERROR(INDEX($D:$D,MATCH($F17,$A:$A,0)),"")</f>
        <v/>
      </c>
      <c r="H17" s="19">
        <f>IFERROR(INDEX($E:$E,MATCH($F17,$A:$A,0)),"")</f>
        <v/>
      </c>
      <c r="I17" s="20">
        <f>Water!$E$21</f>
        <v/>
      </c>
      <c r="J17" s="21" t="inlineStr">
        <is>
          <t>U+16AF</t>
        </is>
      </c>
    </row>
    <row r="18" ht="24" customHeight="1">
      <c r="A18" s="16" t="inlineStr">
        <is>
          <t>FIR-1a</t>
        </is>
      </c>
      <c r="B18" s="16" t="inlineStr">
        <is>
          <t>Fire</t>
        </is>
      </c>
      <c r="C18" s="16" t="n">
        <v>1</v>
      </c>
      <c r="D18" s="16" t="inlineStr">
        <is>
          <t>Ignite</t>
        </is>
      </c>
      <c r="E18" s="17" t="inlineStr">
        <is>
          <t>ᚰ</t>
        </is>
      </c>
      <c r="F18" s="16" t="inlineStr">
        <is>
          <t>FIR-1b</t>
        </is>
      </c>
      <c r="G18" s="18">
        <f>IFERROR(INDEX($D:$D,MATCH($F18,$A:$A,0)),"")</f>
        <v/>
      </c>
      <c r="H18" s="19">
        <f>IFERROR(INDEX($E:$E,MATCH($F18,$A:$A,0)),"")</f>
        <v/>
      </c>
      <c r="I18" s="20">
        <f>Fire!$E$6</f>
        <v/>
      </c>
      <c r="J18" s="21" t="inlineStr">
        <is>
          <t>U+16B0</t>
        </is>
      </c>
    </row>
    <row r="19" ht="24" customHeight="1">
      <c r="A19" s="16" t="inlineStr">
        <is>
          <t>FIR-1b</t>
        </is>
      </c>
      <c r="B19" s="16" t="inlineStr">
        <is>
          <t>Fire</t>
        </is>
      </c>
      <c r="C19" s="16" t="n">
        <v>1</v>
      </c>
      <c r="D19" s="16" t="inlineStr">
        <is>
          <t>Quench</t>
        </is>
      </c>
      <c r="E19" s="17" t="inlineStr">
        <is>
          <t>ᚱ</t>
        </is>
      </c>
      <c r="F19" s="16" t="inlineStr">
        <is>
          <t>FIR-1a</t>
        </is>
      </c>
      <c r="G19" s="18">
        <f>IFERROR(INDEX($D:$D,MATCH($F19,$A:$A,0)),"")</f>
        <v/>
      </c>
      <c r="H19" s="19">
        <f>IFERROR(INDEX($E:$E,MATCH($F19,$A:$A,0)),"")</f>
        <v/>
      </c>
      <c r="I19" s="20">
        <f>Fire!$E$7</f>
        <v/>
      </c>
      <c r="J19" s="21" t="inlineStr">
        <is>
          <t>U+16B1</t>
        </is>
      </c>
    </row>
    <row r="20" ht="24" customHeight="1">
      <c r="A20" s="16" t="inlineStr">
        <is>
          <t>FIR-2a</t>
        </is>
      </c>
      <c r="B20" s="16" t="inlineStr">
        <is>
          <t>Fire</t>
        </is>
      </c>
      <c r="C20" s="16" t="n">
        <v>2</v>
      </c>
      <c r="D20" s="16" t="inlineStr">
        <is>
          <t>Radiate</t>
        </is>
      </c>
      <c r="E20" s="17" t="inlineStr">
        <is>
          <t>ᚲ</t>
        </is>
      </c>
      <c r="F20" s="16" t="inlineStr">
        <is>
          <t>FIR-2b</t>
        </is>
      </c>
      <c r="G20" s="18">
        <f>IFERROR(INDEX($D:$D,MATCH($F20,$A:$A,0)),"")</f>
        <v/>
      </c>
      <c r="H20" s="19">
        <f>IFERROR(INDEX($E:$E,MATCH($F20,$A:$A,0)),"")</f>
        <v/>
      </c>
      <c r="I20" s="20">
        <f>Fire!$E$8</f>
        <v/>
      </c>
      <c r="J20" s="21" t="inlineStr">
        <is>
          <t>U+16B2</t>
        </is>
      </c>
    </row>
    <row r="21" ht="24" customHeight="1">
      <c r="A21" s="16" t="inlineStr">
        <is>
          <t>FIR-2b</t>
        </is>
      </c>
      <c r="B21" s="16" t="inlineStr">
        <is>
          <t>Fire</t>
        </is>
      </c>
      <c r="C21" s="16" t="n">
        <v>2</v>
      </c>
      <c r="D21" s="16" t="inlineStr">
        <is>
          <t>Absorb</t>
        </is>
      </c>
      <c r="E21" s="17" t="inlineStr">
        <is>
          <t>ᚳ</t>
        </is>
      </c>
      <c r="F21" s="16" t="inlineStr">
        <is>
          <t>FIR-2a</t>
        </is>
      </c>
      <c r="G21" s="18">
        <f>IFERROR(INDEX($D:$D,MATCH($F21,$A:$A,0)),"")</f>
        <v/>
      </c>
      <c r="H21" s="19">
        <f>IFERROR(INDEX($E:$E,MATCH($F21,$A:$A,0)),"")</f>
        <v/>
      </c>
      <c r="I21" s="20">
        <f>Fire!$E$9</f>
        <v/>
      </c>
      <c r="J21" s="21" t="inlineStr">
        <is>
          <t>U+16B3</t>
        </is>
      </c>
    </row>
    <row r="22" ht="24" customHeight="1">
      <c r="A22" s="16" t="inlineStr">
        <is>
          <t>FIR-3a</t>
        </is>
      </c>
      <c r="B22" s="16" t="inlineStr">
        <is>
          <t>Fire</t>
        </is>
      </c>
      <c r="C22" s="16" t="n">
        <v>3</v>
      </c>
      <c r="D22" s="16" t="inlineStr">
        <is>
          <t>Consume</t>
        </is>
      </c>
      <c r="E22" s="17" t="inlineStr">
        <is>
          <t>ᚴ</t>
        </is>
      </c>
      <c r="F22" s="16" t="inlineStr">
        <is>
          <t>FIR-3b</t>
        </is>
      </c>
      <c r="G22" s="18">
        <f>IFERROR(INDEX($D:$D,MATCH($F22,$A:$A,0)),"")</f>
        <v/>
      </c>
      <c r="H22" s="19">
        <f>IFERROR(INDEX($E:$E,MATCH($F22,$A:$A,0)),"")</f>
        <v/>
      </c>
      <c r="I22" s="20">
        <f>Fire!$E$10</f>
        <v/>
      </c>
      <c r="J22" s="21" t="inlineStr">
        <is>
          <t>U+16B4</t>
        </is>
      </c>
    </row>
    <row r="23" ht="24" customHeight="1">
      <c r="A23" s="16" t="inlineStr">
        <is>
          <t>FIR-3b</t>
        </is>
      </c>
      <c r="B23" s="16" t="inlineStr">
        <is>
          <t>Fire</t>
        </is>
      </c>
      <c r="C23" s="16" t="n">
        <v>3</v>
      </c>
      <c r="D23" s="16" t="inlineStr">
        <is>
          <t>Fuse</t>
        </is>
      </c>
      <c r="E23" s="17" t="inlineStr">
        <is>
          <t>ᚵ</t>
        </is>
      </c>
      <c r="F23" s="16" t="inlineStr">
        <is>
          <t>FIR-3a</t>
        </is>
      </c>
      <c r="G23" s="18">
        <f>IFERROR(INDEX($D:$D,MATCH($F23,$A:$A,0)),"")</f>
        <v/>
      </c>
      <c r="H23" s="19">
        <f>IFERROR(INDEX($E:$E,MATCH($F23,$A:$A,0)),"")</f>
        <v/>
      </c>
      <c r="I23" s="20">
        <f>Fire!$E$11</f>
        <v/>
      </c>
      <c r="J23" s="21" t="inlineStr">
        <is>
          <t>U+16B5</t>
        </is>
      </c>
    </row>
    <row r="24" ht="24" customHeight="1">
      <c r="A24" s="16" t="inlineStr">
        <is>
          <t>FIR-4a</t>
        </is>
      </c>
      <c r="B24" s="16" t="inlineStr">
        <is>
          <t>Fire</t>
        </is>
      </c>
      <c r="C24" s="16" t="n">
        <v>4</v>
      </c>
      <c r="D24" s="16" t="inlineStr">
        <is>
          <t>Burst</t>
        </is>
      </c>
      <c r="E24" s="17" t="inlineStr">
        <is>
          <t>ᚶ</t>
        </is>
      </c>
      <c r="F24" s="16" t="inlineStr">
        <is>
          <t>FIR-4b</t>
        </is>
      </c>
      <c r="G24" s="18">
        <f>IFERROR(INDEX($D:$D,MATCH($F24,$A:$A,0)),"")</f>
        <v/>
      </c>
      <c r="H24" s="19">
        <f>IFERROR(INDEX($E:$E,MATCH($F24,$A:$A,0)),"")</f>
        <v/>
      </c>
      <c r="I24" s="20">
        <f>Fire!$E$12</f>
        <v/>
      </c>
      <c r="J24" s="21" t="inlineStr">
        <is>
          <t>U+16B6</t>
        </is>
      </c>
    </row>
    <row r="25" ht="24" customHeight="1">
      <c r="A25" s="16" t="inlineStr">
        <is>
          <t>FIR-4b</t>
        </is>
      </c>
      <c r="B25" s="16" t="inlineStr">
        <is>
          <t>Fire</t>
        </is>
      </c>
      <c r="C25" s="16" t="n">
        <v>4</v>
      </c>
      <c r="D25" s="16" t="inlineStr">
        <is>
          <t>Implode</t>
        </is>
      </c>
      <c r="E25" s="17" t="inlineStr">
        <is>
          <t>ᚷ</t>
        </is>
      </c>
      <c r="F25" s="16" t="inlineStr">
        <is>
          <t>FIR-4a</t>
        </is>
      </c>
      <c r="G25" s="18">
        <f>IFERROR(INDEX($D:$D,MATCH($F25,$A:$A,0)),"")</f>
        <v/>
      </c>
      <c r="H25" s="19">
        <f>IFERROR(INDEX($E:$E,MATCH($F25,$A:$A,0)),"")</f>
        <v/>
      </c>
      <c r="I25" s="20">
        <f>Fire!$E$13</f>
        <v/>
      </c>
      <c r="J25" s="21" t="inlineStr">
        <is>
          <t>U+16B7</t>
        </is>
      </c>
    </row>
    <row r="26" ht="24" customHeight="1">
      <c r="A26" s="16" t="inlineStr">
        <is>
          <t>FIR-5a</t>
        </is>
      </c>
      <c r="B26" s="16" t="inlineStr">
        <is>
          <t>Fire</t>
        </is>
      </c>
      <c r="C26" s="16" t="n">
        <v>5</v>
      </c>
      <c r="D26" s="16" t="inlineStr">
        <is>
          <t>Flare</t>
        </is>
      </c>
      <c r="E26" s="17" t="inlineStr">
        <is>
          <t>ᚸ</t>
        </is>
      </c>
      <c r="F26" s="16" t="inlineStr">
        <is>
          <t>FIR-5b</t>
        </is>
      </c>
      <c r="G26" s="18">
        <f>IFERROR(INDEX($D:$D,MATCH($F26,$A:$A,0)),"")</f>
        <v/>
      </c>
      <c r="H26" s="19">
        <f>IFERROR(INDEX($E:$E,MATCH($F26,$A:$A,0)),"")</f>
        <v/>
      </c>
      <c r="I26" s="20">
        <f>Fire!$E$14</f>
        <v/>
      </c>
      <c r="J26" s="21" t="inlineStr">
        <is>
          <t>U+16B8</t>
        </is>
      </c>
    </row>
    <row r="27" ht="24" customHeight="1">
      <c r="A27" s="16" t="inlineStr">
        <is>
          <t>FIR-5b</t>
        </is>
      </c>
      <c r="B27" s="16" t="inlineStr">
        <is>
          <t>Fire</t>
        </is>
      </c>
      <c r="C27" s="16" t="n">
        <v>5</v>
      </c>
      <c r="D27" s="16" t="inlineStr">
        <is>
          <t>Smoke</t>
        </is>
      </c>
      <c r="E27" s="17" t="inlineStr">
        <is>
          <t>ᚹ</t>
        </is>
      </c>
      <c r="F27" s="16" t="inlineStr">
        <is>
          <t>FIR-5a</t>
        </is>
      </c>
      <c r="G27" s="18">
        <f>IFERROR(INDEX($D:$D,MATCH($F27,$A:$A,0)),"")</f>
        <v/>
      </c>
      <c r="H27" s="19">
        <f>IFERROR(INDEX($E:$E,MATCH($F27,$A:$A,0)),"")</f>
        <v/>
      </c>
      <c r="I27" s="20">
        <f>Fire!$E$15</f>
        <v/>
      </c>
      <c r="J27" s="21" t="inlineStr">
        <is>
          <t>U+16B9</t>
        </is>
      </c>
    </row>
    <row r="28" ht="24" customHeight="1">
      <c r="A28" s="16" t="inlineStr">
        <is>
          <t>EAR-1a</t>
        </is>
      </c>
      <c r="B28" s="16" t="inlineStr">
        <is>
          <t>Earth</t>
        </is>
      </c>
      <c r="C28" s="16" t="n">
        <v>1</v>
      </c>
      <c r="D28" s="16" t="inlineStr">
        <is>
          <t>Raise</t>
        </is>
      </c>
      <c r="E28" s="17" t="inlineStr">
        <is>
          <t>ᚺ</t>
        </is>
      </c>
      <c r="F28" s="16" t="inlineStr">
        <is>
          <t>EAR-1b</t>
        </is>
      </c>
      <c r="G28" s="18">
        <f>IFERROR(INDEX($D:$D,MATCH($F28,$A:$A,0)),"")</f>
        <v/>
      </c>
      <c r="H28" s="19">
        <f>IFERROR(INDEX($E:$E,MATCH($F28,$A:$A,0)),"")</f>
        <v/>
      </c>
      <c r="I28" s="20">
        <f>Earth!$E$6</f>
        <v/>
      </c>
      <c r="J28" s="21" t="inlineStr">
        <is>
          <t>U+16BA</t>
        </is>
      </c>
    </row>
    <row r="29" ht="24" customHeight="1">
      <c r="A29" s="16" t="inlineStr">
        <is>
          <t>EAR-1b</t>
        </is>
      </c>
      <c r="B29" s="16" t="inlineStr">
        <is>
          <t>Earth</t>
        </is>
      </c>
      <c r="C29" s="16" t="n">
        <v>1</v>
      </c>
      <c r="D29" s="16" t="inlineStr">
        <is>
          <t>Sink</t>
        </is>
      </c>
      <c r="E29" s="17" t="inlineStr">
        <is>
          <t>ᚻ</t>
        </is>
      </c>
      <c r="F29" s="16" t="inlineStr">
        <is>
          <t>EAR-1a</t>
        </is>
      </c>
      <c r="G29" s="18">
        <f>IFERROR(INDEX($D:$D,MATCH($F29,$A:$A,0)),"")</f>
        <v/>
      </c>
      <c r="H29" s="19">
        <f>IFERROR(INDEX($E:$E,MATCH($F29,$A:$A,0)),"")</f>
        <v/>
      </c>
      <c r="I29" s="20">
        <f>Earth!$E$7</f>
        <v/>
      </c>
      <c r="J29" s="21" t="inlineStr">
        <is>
          <t>U+16BB</t>
        </is>
      </c>
    </row>
    <row r="30" ht="24" customHeight="1">
      <c r="A30" s="16" t="inlineStr">
        <is>
          <t>EAR-2a</t>
        </is>
      </c>
      <c r="B30" s="16" t="inlineStr">
        <is>
          <t>Earth</t>
        </is>
      </c>
      <c r="C30" s="16" t="n">
        <v>2</v>
      </c>
      <c r="D30" s="16" t="inlineStr">
        <is>
          <t>Harden</t>
        </is>
      </c>
      <c r="E30" s="17" t="inlineStr">
        <is>
          <t>ᚼ</t>
        </is>
      </c>
      <c r="F30" s="16" t="inlineStr">
        <is>
          <t>EAR-2b</t>
        </is>
      </c>
      <c r="G30" s="18">
        <f>IFERROR(INDEX($D:$D,MATCH($F30,$A:$A,0)),"")</f>
        <v/>
      </c>
      <c r="H30" s="19">
        <f>IFERROR(INDEX($E:$E,MATCH($F30,$A:$A,0)),"")</f>
        <v/>
      </c>
      <c r="I30" s="20">
        <f>Earth!$E$8</f>
        <v/>
      </c>
      <c r="J30" s="21" t="inlineStr">
        <is>
          <t>U+16BC</t>
        </is>
      </c>
    </row>
    <row r="31" ht="24" customHeight="1">
      <c r="A31" s="16" t="inlineStr">
        <is>
          <t>EAR-2b</t>
        </is>
      </c>
      <c r="B31" s="16" t="inlineStr">
        <is>
          <t>Earth</t>
        </is>
      </c>
      <c r="C31" s="16" t="n">
        <v>2</v>
      </c>
      <c r="D31" s="16" t="inlineStr">
        <is>
          <t>Crumble</t>
        </is>
      </c>
      <c r="E31" s="17" t="inlineStr">
        <is>
          <t>ᚽ</t>
        </is>
      </c>
      <c r="F31" s="16" t="inlineStr">
        <is>
          <t>EAR-2a</t>
        </is>
      </c>
      <c r="G31" s="18">
        <f>IFERROR(INDEX($D:$D,MATCH($F31,$A:$A,0)),"")</f>
        <v/>
      </c>
      <c r="H31" s="19">
        <f>IFERROR(INDEX($E:$E,MATCH($F31,$A:$A,0)),"")</f>
        <v/>
      </c>
      <c r="I31" s="20">
        <f>Earth!$E$9</f>
        <v/>
      </c>
      <c r="J31" s="21" t="inlineStr">
        <is>
          <t>U+16BD</t>
        </is>
      </c>
    </row>
    <row r="32" ht="24" customHeight="1">
      <c r="A32" s="16" t="inlineStr">
        <is>
          <t>EAR-3a</t>
        </is>
      </c>
      <c r="B32" s="16" t="inlineStr">
        <is>
          <t>Earth</t>
        </is>
      </c>
      <c r="C32" s="16" t="n">
        <v>3</v>
      </c>
      <c r="D32" s="16" t="inlineStr">
        <is>
          <t>Root</t>
        </is>
      </c>
      <c r="E32" s="17" t="inlineStr">
        <is>
          <t>ᚾ</t>
        </is>
      </c>
      <c r="F32" s="16" t="inlineStr">
        <is>
          <t>EAR-3b</t>
        </is>
      </c>
      <c r="G32" s="18">
        <f>IFERROR(INDEX($D:$D,MATCH($F32,$A:$A,0)),"")</f>
        <v/>
      </c>
      <c r="H32" s="19">
        <f>IFERROR(INDEX($E:$E,MATCH($F32,$A:$A,0)),"")</f>
        <v/>
      </c>
      <c r="I32" s="20">
        <f>Earth!$E$10</f>
        <v/>
      </c>
      <c r="J32" s="21" t="inlineStr">
        <is>
          <t>U+16BE</t>
        </is>
      </c>
    </row>
    <row r="33" ht="24" customHeight="1">
      <c r="A33" s="16" t="inlineStr">
        <is>
          <t>EAR-3b</t>
        </is>
      </c>
      <c r="B33" s="16" t="inlineStr">
        <is>
          <t>Earth</t>
        </is>
      </c>
      <c r="C33" s="16" t="n">
        <v>3</v>
      </c>
      <c r="D33" s="16" t="inlineStr">
        <is>
          <t>Quake</t>
        </is>
      </c>
      <c r="E33" s="17" t="inlineStr">
        <is>
          <t>ᚿ</t>
        </is>
      </c>
      <c r="F33" s="16" t="inlineStr">
        <is>
          <t>EAR-3a</t>
        </is>
      </c>
      <c r="G33" s="18">
        <f>IFERROR(INDEX($D:$D,MATCH($F33,$A:$A,0)),"")</f>
        <v/>
      </c>
      <c r="H33" s="19">
        <f>IFERROR(INDEX($E:$E,MATCH($F33,$A:$A,0)),"")</f>
        <v/>
      </c>
      <c r="I33" s="20">
        <f>Earth!$E$11</f>
        <v/>
      </c>
      <c r="J33" s="21" t="inlineStr">
        <is>
          <t>U+16BF</t>
        </is>
      </c>
    </row>
    <row r="34" ht="24" customHeight="1">
      <c r="A34" s="16" t="inlineStr">
        <is>
          <t>EAR-4a</t>
        </is>
      </c>
      <c r="B34" s="16" t="inlineStr">
        <is>
          <t>Earth</t>
        </is>
      </c>
      <c r="C34" s="16" t="n">
        <v>4</v>
      </c>
      <c r="D34" s="16" t="inlineStr">
        <is>
          <t>Weigh</t>
        </is>
      </c>
      <c r="E34" s="17" t="inlineStr">
        <is>
          <t>ᛀ</t>
        </is>
      </c>
      <c r="F34" s="16" t="inlineStr">
        <is>
          <t>EAR-4b</t>
        </is>
      </c>
      <c r="G34" s="18">
        <f>IFERROR(INDEX($D:$D,MATCH($F34,$A:$A,0)),"")</f>
        <v/>
      </c>
      <c r="H34" s="19">
        <f>IFERROR(INDEX($E:$E,MATCH($F34,$A:$A,0)),"")</f>
        <v/>
      </c>
      <c r="I34" s="20">
        <f>Earth!$E$12</f>
        <v/>
      </c>
      <c r="J34" s="21" t="inlineStr">
        <is>
          <t>U+16C0</t>
        </is>
      </c>
    </row>
    <row r="35" ht="24" customHeight="1">
      <c r="A35" s="16" t="inlineStr">
        <is>
          <t>EAR-4b</t>
        </is>
      </c>
      <c r="B35" s="16" t="inlineStr">
        <is>
          <t>Earth</t>
        </is>
      </c>
      <c r="C35" s="16" t="n">
        <v>4</v>
      </c>
      <c r="D35" s="16" t="inlineStr">
        <is>
          <t>Buoy</t>
        </is>
      </c>
      <c r="E35" s="17" t="inlineStr">
        <is>
          <t>ᛁ</t>
        </is>
      </c>
      <c r="F35" s="16" t="inlineStr">
        <is>
          <t>EAR-4a</t>
        </is>
      </c>
      <c r="G35" s="18">
        <f>IFERROR(INDEX($D:$D,MATCH($F35,$A:$A,0)),"")</f>
        <v/>
      </c>
      <c r="H35" s="19">
        <f>IFERROR(INDEX($E:$E,MATCH($F35,$A:$A,0)),"")</f>
        <v/>
      </c>
      <c r="I35" s="20">
        <f>Earth!$E$13</f>
        <v/>
      </c>
      <c r="J35" s="21" t="inlineStr">
        <is>
          <t>U+16C1</t>
        </is>
      </c>
    </row>
    <row r="36" ht="24" customHeight="1">
      <c r="A36" s="16" t="inlineStr">
        <is>
          <t>EAR-5a</t>
        </is>
      </c>
      <c r="B36" s="16" t="inlineStr">
        <is>
          <t>Earth</t>
        </is>
      </c>
      <c r="C36" s="16" t="n">
        <v>5</v>
      </c>
      <c r="D36" s="16" t="inlineStr">
        <is>
          <t>Shard</t>
        </is>
      </c>
      <c r="E36" s="17" t="inlineStr">
        <is>
          <t>ᛂ</t>
        </is>
      </c>
      <c r="F36" s="16" t="inlineStr">
        <is>
          <t>EAR-5b</t>
        </is>
      </c>
      <c r="G36" s="18">
        <f>IFERROR(INDEX($D:$D,MATCH($F36,$A:$A,0)),"")</f>
        <v/>
      </c>
      <c r="H36" s="19">
        <f>IFERROR(INDEX($E:$E,MATCH($F36,$A:$A,0)),"")</f>
        <v/>
      </c>
      <c r="I36" s="20">
        <f>Earth!$E$14</f>
        <v/>
      </c>
      <c r="J36" s="21" t="inlineStr">
        <is>
          <t>U+16C2</t>
        </is>
      </c>
    </row>
    <row r="37" ht="24" customHeight="1">
      <c r="A37" s="16" t="inlineStr">
        <is>
          <t>EAR-5b</t>
        </is>
      </c>
      <c r="B37" s="16" t="inlineStr">
        <is>
          <t>Earth</t>
        </is>
      </c>
      <c r="C37" s="16" t="n">
        <v>5</v>
      </c>
      <c r="D37" s="16" t="inlineStr">
        <is>
          <t>Sand</t>
        </is>
      </c>
      <c r="E37" s="17" t="inlineStr">
        <is>
          <t>ᛃ</t>
        </is>
      </c>
      <c r="F37" s="16" t="inlineStr">
        <is>
          <t>EAR-5a</t>
        </is>
      </c>
      <c r="G37" s="18">
        <f>IFERROR(INDEX($D:$D,MATCH($F37,$A:$A,0)),"")</f>
        <v/>
      </c>
      <c r="H37" s="19">
        <f>IFERROR(INDEX($E:$E,MATCH($F37,$A:$A,0)),"")</f>
        <v/>
      </c>
      <c r="I37" s="20">
        <f>Earth!$E$15</f>
        <v/>
      </c>
      <c r="J37" s="21" t="inlineStr">
        <is>
          <t>U+16C3</t>
        </is>
      </c>
    </row>
    <row r="38" ht="24" customHeight="1">
      <c r="A38" s="16" t="inlineStr">
        <is>
          <t>WIN-1a</t>
        </is>
      </c>
      <c r="B38" s="16" t="inlineStr">
        <is>
          <t>Wind</t>
        </is>
      </c>
      <c r="C38" s="16" t="n">
        <v>1</v>
      </c>
      <c r="D38" s="16" t="inlineStr">
        <is>
          <t>Gust</t>
        </is>
      </c>
      <c r="E38" s="17" t="inlineStr">
        <is>
          <t>ᛄ</t>
        </is>
      </c>
      <c r="F38" s="16" t="inlineStr">
        <is>
          <t>WIN-1b</t>
        </is>
      </c>
      <c r="G38" s="18">
        <f>IFERROR(INDEX($D:$D,MATCH($F38,$A:$A,0)),"")</f>
        <v/>
      </c>
      <c r="H38" s="19">
        <f>IFERROR(INDEX($E:$E,MATCH($F38,$A:$A,0)),"")</f>
        <v/>
      </c>
      <c r="I38" s="20">
        <f>Wind!$E$6</f>
        <v/>
      </c>
      <c r="J38" s="21" t="inlineStr">
        <is>
          <t>U+16C4</t>
        </is>
      </c>
    </row>
    <row r="39" ht="24" customHeight="1">
      <c r="A39" s="16" t="inlineStr">
        <is>
          <t>WIN-1b</t>
        </is>
      </c>
      <c r="B39" s="16" t="inlineStr">
        <is>
          <t>Wind</t>
        </is>
      </c>
      <c r="C39" s="16" t="n">
        <v>1</v>
      </c>
      <c r="D39" s="16" t="inlineStr">
        <is>
          <t>Lull</t>
        </is>
      </c>
      <c r="E39" s="17" t="inlineStr">
        <is>
          <t>ᛅ</t>
        </is>
      </c>
      <c r="F39" s="16" t="inlineStr">
        <is>
          <t>WIN-1a</t>
        </is>
      </c>
      <c r="G39" s="18">
        <f>IFERROR(INDEX($D:$D,MATCH($F39,$A:$A,0)),"")</f>
        <v/>
      </c>
      <c r="H39" s="19">
        <f>IFERROR(INDEX($E:$E,MATCH($F39,$A:$A,0)),"")</f>
        <v/>
      </c>
      <c r="I39" s="20">
        <f>Wind!$E$7</f>
        <v/>
      </c>
      <c r="J39" s="21" t="inlineStr">
        <is>
          <t>U+16C5</t>
        </is>
      </c>
    </row>
    <row r="40" ht="24" customHeight="1">
      <c r="A40" s="16" t="inlineStr">
        <is>
          <t>WIN-2a</t>
        </is>
      </c>
      <c r="B40" s="16" t="inlineStr">
        <is>
          <t>Wind</t>
        </is>
      </c>
      <c r="C40" s="16" t="n">
        <v>2</v>
      </c>
      <c r="D40" s="16" t="inlineStr">
        <is>
          <t>Updraft</t>
        </is>
      </c>
      <c r="E40" s="17" t="inlineStr">
        <is>
          <t>ᛆ</t>
        </is>
      </c>
      <c r="F40" s="16" t="inlineStr">
        <is>
          <t>WIN-2b</t>
        </is>
      </c>
      <c r="G40" s="18">
        <f>IFERROR(INDEX($D:$D,MATCH($F40,$A:$A,0)),"")</f>
        <v/>
      </c>
      <c r="H40" s="19">
        <f>IFERROR(INDEX($E:$E,MATCH($F40,$A:$A,0)),"")</f>
        <v/>
      </c>
      <c r="I40" s="20">
        <f>Wind!$E$8</f>
        <v/>
      </c>
      <c r="J40" s="21" t="inlineStr">
        <is>
          <t>U+16C6</t>
        </is>
      </c>
    </row>
    <row r="41" ht="24" customHeight="1">
      <c r="A41" s="16" t="inlineStr">
        <is>
          <t>WIN-2b</t>
        </is>
      </c>
      <c r="B41" s="16" t="inlineStr">
        <is>
          <t>Wind</t>
        </is>
      </c>
      <c r="C41" s="16" t="n">
        <v>2</v>
      </c>
      <c r="D41" s="16" t="inlineStr">
        <is>
          <t>Downdraft</t>
        </is>
      </c>
      <c r="E41" s="17" t="inlineStr">
        <is>
          <t>ᛇ</t>
        </is>
      </c>
      <c r="F41" s="16" t="inlineStr">
        <is>
          <t>WIN-2a</t>
        </is>
      </c>
      <c r="G41" s="18">
        <f>IFERROR(INDEX($D:$D,MATCH($F41,$A:$A,0)),"")</f>
        <v/>
      </c>
      <c r="H41" s="19">
        <f>IFERROR(INDEX($E:$E,MATCH($F41,$A:$A,0)),"")</f>
        <v/>
      </c>
      <c r="I41" s="20">
        <f>Wind!$E$9</f>
        <v/>
      </c>
      <c r="J41" s="21" t="inlineStr">
        <is>
          <t>U+16C7</t>
        </is>
      </c>
    </row>
    <row r="42" ht="24" customHeight="1">
      <c r="A42" s="16" t="inlineStr">
        <is>
          <t>WIN-3a</t>
        </is>
      </c>
      <c r="B42" s="16" t="inlineStr">
        <is>
          <t>Wind</t>
        </is>
      </c>
      <c r="C42" s="16" t="n">
        <v>3</v>
      </c>
      <c r="D42" s="16" t="inlineStr">
        <is>
          <t>Shear</t>
        </is>
      </c>
      <c r="E42" s="17" t="inlineStr">
        <is>
          <t>ᛈ</t>
        </is>
      </c>
      <c r="F42" s="16" t="inlineStr">
        <is>
          <t>WIN-3b</t>
        </is>
      </c>
      <c r="G42" s="18">
        <f>IFERROR(INDEX($D:$D,MATCH($F42,$A:$A,0)),"")</f>
        <v/>
      </c>
      <c r="H42" s="19">
        <f>IFERROR(INDEX($E:$E,MATCH($F42,$A:$A,0)),"")</f>
        <v/>
      </c>
      <c r="I42" s="20">
        <f>Wind!$E$10</f>
        <v/>
      </c>
      <c r="J42" s="21" t="inlineStr">
        <is>
          <t>U+16C8</t>
        </is>
      </c>
    </row>
    <row r="43" ht="24" customHeight="1">
      <c r="A43" s="16" t="inlineStr">
        <is>
          <t>WIN-3b</t>
        </is>
      </c>
      <c r="B43" s="16" t="inlineStr">
        <is>
          <t>Wind</t>
        </is>
      </c>
      <c r="C43" s="16" t="n">
        <v>3</v>
      </c>
      <c r="D43" s="16" t="inlineStr">
        <is>
          <t>Buffer</t>
        </is>
      </c>
      <c r="E43" s="17" t="inlineStr">
        <is>
          <t>ᛉ</t>
        </is>
      </c>
      <c r="F43" s="16" t="inlineStr">
        <is>
          <t>WIN-3a</t>
        </is>
      </c>
      <c r="G43" s="18">
        <f>IFERROR(INDEX($D:$D,MATCH($F43,$A:$A,0)),"")</f>
        <v/>
      </c>
      <c r="H43" s="19">
        <f>IFERROR(INDEX($E:$E,MATCH($F43,$A:$A,0)),"")</f>
        <v/>
      </c>
      <c r="I43" s="20">
        <f>Wind!$E$11</f>
        <v/>
      </c>
      <c r="J43" s="21" t="inlineStr">
        <is>
          <t>U+16C9</t>
        </is>
      </c>
    </row>
    <row r="44" ht="24" customHeight="1">
      <c r="A44" s="16" t="inlineStr">
        <is>
          <t>WIN-4a</t>
        </is>
      </c>
      <c r="B44" s="16" t="inlineStr">
        <is>
          <t>Wind</t>
        </is>
      </c>
      <c r="C44" s="16" t="n">
        <v>4</v>
      </c>
      <c r="D44" s="16" t="inlineStr">
        <is>
          <t>Tailwind</t>
        </is>
      </c>
      <c r="E44" s="17" t="inlineStr">
        <is>
          <t>ᛊ</t>
        </is>
      </c>
      <c r="F44" s="16" t="inlineStr">
        <is>
          <t>WIN-4b</t>
        </is>
      </c>
      <c r="G44" s="18">
        <f>IFERROR(INDEX($D:$D,MATCH($F44,$A:$A,0)),"")</f>
        <v/>
      </c>
      <c r="H44" s="19">
        <f>IFERROR(INDEX($E:$E,MATCH($F44,$A:$A,0)),"")</f>
        <v/>
      </c>
      <c r="I44" s="20">
        <f>Wind!$E$12</f>
        <v/>
      </c>
      <c r="J44" s="21" t="inlineStr">
        <is>
          <t>U+16CA</t>
        </is>
      </c>
    </row>
    <row r="45" ht="24" customHeight="1">
      <c r="A45" s="16" t="inlineStr">
        <is>
          <t>WIN-4b</t>
        </is>
      </c>
      <c r="B45" s="16" t="inlineStr">
        <is>
          <t>Wind</t>
        </is>
      </c>
      <c r="C45" s="16" t="n">
        <v>4</v>
      </c>
      <c r="D45" s="16" t="inlineStr">
        <is>
          <t>Headwind</t>
        </is>
      </c>
      <c r="E45" s="17" t="inlineStr">
        <is>
          <t>ᛋ</t>
        </is>
      </c>
      <c r="F45" s="16" t="inlineStr">
        <is>
          <t>WIN-4a</t>
        </is>
      </c>
      <c r="G45" s="18">
        <f>IFERROR(INDEX($D:$D,MATCH($F45,$A:$A,0)),"")</f>
        <v/>
      </c>
      <c r="H45" s="19">
        <f>IFERROR(INDEX($E:$E,MATCH($F45,$A:$A,0)),"")</f>
        <v/>
      </c>
      <c r="I45" s="20">
        <f>Wind!$E$13</f>
        <v/>
      </c>
      <c r="J45" s="21" t="inlineStr">
        <is>
          <t>U+16CB</t>
        </is>
      </c>
    </row>
    <row r="46" ht="24" customHeight="1">
      <c r="A46" s="16" t="inlineStr">
        <is>
          <t>WIN-5a</t>
        </is>
      </c>
      <c r="B46" s="16" t="inlineStr">
        <is>
          <t>Wind</t>
        </is>
      </c>
      <c r="C46" s="16" t="n">
        <v>5</v>
      </c>
      <c r="D46" s="16" t="inlineStr">
        <is>
          <t>Whirl</t>
        </is>
      </c>
      <c r="E46" s="17" t="inlineStr">
        <is>
          <t>ᛌ</t>
        </is>
      </c>
      <c r="F46" s="16" t="inlineStr">
        <is>
          <t>WIN-5b</t>
        </is>
      </c>
      <c r="G46" s="18">
        <f>IFERROR(INDEX($D:$D,MATCH($F46,$A:$A,0)),"")</f>
        <v/>
      </c>
      <c r="H46" s="19">
        <f>IFERROR(INDEX($E:$E,MATCH($F46,$A:$A,0)),"")</f>
        <v/>
      </c>
      <c r="I46" s="20">
        <f>Wind!$E$14</f>
        <v/>
      </c>
      <c r="J46" s="21" t="inlineStr">
        <is>
          <t>U+16CC</t>
        </is>
      </c>
    </row>
    <row r="47" ht="24" customHeight="1">
      <c r="A47" s="16" t="inlineStr">
        <is>
          <t>WIN-5b</t>
        </is>
      </c>
      <c r="B47" s="16" t="inlineStr">
        <is>
          <t>Wind</t>
        </is>
      </c>
      <c r="C47" s="16" t="n">
        <v>5</v>
      </c>
      <c r="D47" s="16" t="inlineStr">
        <is>
          <t>Disperse</t>
        </is>
      </c>
      <c r="E47" s="17" t="inlineStr">
        <is>
          <t>ᛍ</t>
        </is>
      </c>
      <c r="F47" s="16" t="inlineStr">
        <is>
          <t>WIN-5a</t>
        </is>
      </c>
      <c r="G47" s="18">
        <f>IFERROR(INDEX($D:$D,MATCH($F47,$A:$A,0)),"")</f>
        <v/>
      </c>
      <c r="H47" s="19">
        <f>IFERROR(INDEX($E:$E,MATCH($F47,$A:$A,0)),"")</f>
        <v/>
      </c>
      <c r="I47" s="20">
        <f>Wind!$E$15</f>
        <v/>
      </c>
      <c r="J47" s="21" t="inlineStr">
        <is>
          <t>U+16CD</t>
        </is>
      </c>
    </row>
    <row r="48" ht="24" customHeight="1">
      <c r="A48" s="16" t="inlineStr">
        <is>
          <t>LIG-1a</t>
        </is>
      </c>
      <c r="B48" s="16" t="inlineStr">
        <is>
          <t>Lightning</t>
        </is>
      </c>
      <c r="C48" s="16" t="n">
        <v>1</v>
      </c>
      <c r="D48" s="16" t="inlineStr">
        <is>
          <t>Charge</t>
        </is>
      </c>
      <c r="E48" s="17" t="inlineStr">
        <is>
          <t>ᛎ</t>
        </is>
      </c>
      <c r="F48" s="16" t="inlineStr">
        <is>
          <t>LIG-1b</t>
        </is>
      </c>
      <c r="G48" s="18">
        <f>IFERROR(INDEX($D:$D,MATCH($F48,$A:$A,0)),"")</f>
        <v/>
      </c>
      <c r="H48" s="19">
        <f>IFERROR(INDEX($E:$E,MATCH($F48,$A:$A,0)),"")</f>
        <v/>
      </c>
      <c r="I48" s="20">
        <f>Lightning!$E$6</f>
        <v/>
      </c>
      <c r="J48" s="21" t="inlineStr">
        <is>
          <t>U+16CE</t>
        </is>
      </c>
    </row>
    <row r="49" ht="24" customHeight="1">
      <c r="A49" s="16" t="inlineStr">
        <is>
          <t>LIG-1b</t>
        </is>
      </c>
      <c r="B49" s="16" t="inlineStr">
        <is>
          <t>Lightning</t>
        </is>
      </c>
      <c r="C49" s="16" t="n">
        <v>1</v>
      </c>
      <c r="D49" s="16" t="inlineStr">
        <is>
          <t>Discharge</t>
        </is>
      </c>
      <c r="E49" s="17" t="inlineStr">
        <is>
          <t>ᛏ</t>
        </is>
      </c>
      <c r="F49" s="16" t="inlineStr">
        <is>
          <t>LIG-1a</t>
        </is>
      </c>
      <c r="G49" s="18">
        <f>IFERROR(INDEX($D:$D,MATCH($F49,$A:$A,0)),"")</f>
        <v/>
      </c>
      <c r="H49" s="19">
        <f>IFERROR(INDEX($E:$E,MATCH($F49,$A:$A,0)),"")</f>
        <v/>
      </c>
      <c r="I49" s="20">
        <f>Lightning!$E$7</f>
        <v/>
      </c>
      <c r="J49" s="21" t="inlineStr">
        <is>
          <t>U+16CF</t>
        </is>
      </c>
    </row>
    <row r="50" ht="24" customHeight="1">
      <c r="A50" s="16" t="inlineStr">
        <is>
          <t>LIG-2a</t>
        </is>
      </c>
      <c r="B50" s="16" t="inlineStr">
        <is>
          <t>Lightning</t>
        </is>
      </c>
      <c r="C50" s="16" t="n">
        <v>2</v>
      </c>
      <c r="D50" s="16" t="inlineStr">
        <is>
          <t>Arc</t>
        </is>
      </c>
      <c r="E50" s="17" t="inlineStr">
        <is>
          <t>ᛐ</t>
        </is>
      </c>
      <c r="F50" s="16" t="inlineStr">
        <is>
          <t>LIG-2b</t>
        </is>
      </c>
      <c r="G50" s="18">
        <f>IFERROR(INDEX($D:$D,MATCH($F50,$A:$A,0)),"")</f>
        <v/>
      </c>
      <c r="H50" s="19">
        <f>IFERROR(INDEX($E:$E,MATCH($F50,$A:$A,0)),"")</f>
        <v/>
      </c>
      <c r="I50" s="20">
        <f>Lightning!$E$8</f>
        <v/>
      </c>
      <c r="J50" s="21" t="inlineStr">
        <is>
          <t>U+16D0</t>
        </is>
      </c>
    </row>
    <row r="51" ht="24" customHeight="1">
      <c r="A51" s="16" t="inlineStr">
        <is>
          <t>LIG-2b</t>
        </is>
      </c>
      <c r="B51" s="16" t="inlineStr">
        <is>
          <t>Lightning</t>
        </is>
      </c>
      <c r="C51" s="16" t="n">
        <v>2</v>
      </c>
      <c r="D51" s="16" t="inlineStr">
        <is>
          <t>Insulate</t>
        </is>
      </c>
      <c r="E51" s="17" t="inlineStr">
        <is>
          <t>ᛑ</t>
        </is>
      </c>
      <c r="F51" s="16" t="inlineStr">
        <is>
          <t>LIG-2a</t>
        </is>
      </c>
      <c r="G51" s="18">
        <f>IFERROR(INDEX($D:$D,MATCH($F51,$A:$A,0)),"")</f>
        <v/>
      </c>
      <c r="H51" s="19">
        <f>IFERROR(INDEX($E:$E,MATCH($F51,$A:$A,0)),"")</f>
        <v/>
      </c>
      <c r="I51" s="20">
        <f>Lightning!$E$9</f>
        <v/>
      </c>
      <c r="J51" s="21" t="inlineStr">
        <is>
          <t>U+16D1</t>
        </is>
      </c>
    </row>
    <row r="52" ht="24" customHeight="1">
      <c r="A52" s="16" t="inlineStr">
        <is>
          <t>LIG-3a</t>
        </is>
      </c>
      <c r="B52" s="16" t="inlineStr">
        <is>
          <t>Lightning</t>
        </is>
      </c>
      <c r="C52" s="16" t="n">
        <v>3</v>
      </c>
      <c r="D52" s="16" t="inlineStr">
        <is>
          <t>Positive</t>
        </is>
      </c>
      <c r="E52" s="17" t="inlineStr">
        <is>
          <t>ᛒ</t>
        </is>
      </c>
      <c r="F52" s="16" t="inlineStr">
        <is>
          <t>LIG-3b</t>
        </is>
      </c>
      <c r="G52" s="18">
        <f>IFERROR(INDEX($D:$D,MATCH($F52,$A:$A,0)),"")</f>
        <v/>
      </c>
      <c r="H52" s="19">
        <f>IFERROR(INDEX($E:$E,MATCH($F52,$A:$A,0)),"")</f>
        <v/>
      </c>
      <c r="I52" s="20">
        <f>Lightning!$E$10</f>
        <v/>
      </c>
      <c r="J52" s="21" t="inlineStr">
        <is>
          <t>U+16D2</t>
        </is>
      </c>
    </row>
    <row r="53" ht="24" customHeight="1">
      <c r="A53" s="16" t="inlineStr">
        <is>
          <t>LIG-3b</t>
        </is>
      </c>
      <c r="B53" s="16" t="inlineStr">
        <is>
          <t>Lightning</t>
        </is>
      </c>
      <c r="C53" s="16" t="n">
        <v>3</v>
      </c>
      <c r="D53" s="16" t="inlineStr">
        <is>
          <t>Negative</t>
        </is>
      </c>
      <c r="E53" s="17" t="inlineStr">
        <is>
          <t>ᛓ</t>
        </is>
      </c>
      <c r="F53" s="16" t="inlineStr">
        <is>
          <t>LIG-3a</t>
        </is>
      </c>
      <c r="G53" s="18">
        <f>IFERROR(INDEX($D:$D,MATCH($F53,$A:$A,0)),"")</f>
        <v/>
      </c>
      <c r="H53" s="19">
        <f>IFERROR(INDEX($E:$E,MATCH($F53,$A:$A,0)),"")</f>
        <v/>
      </c>
      <c r="I53" s="20">
        <f>Lightning!$E$11</f>
        <v/>
      </c>
      <c r="J53" s="21" t="inlineStr">
        <is>
          <t>U+16D3</t>
        </is>
      </c>
    </row>
    <row r="54" ht="24" customHeight="1">
      <c r="A54" s="16" t="inlineStr">
        <is>
          <t>LIG-4a</t>
        </is>
      </c>
      <c r="B54" s="16" t="inlineStr">
        <is>
          <t>Lightning</t>
        </is>
      </c>
      <c r="C54" s="16" t="n">
        <v>4</v>
      </c>
      <c r="D54" s="16" t="inlineStr">
        <is>
          <t>Quicken</t>
        </is>
      </c>
      <c r="E54" s="17" t="inlineStr">
        <is>
          <t>ᛔ</t>
        </is>
      </c>
      <c r="F54" s="16" t="inlineStr">
        <is>
          <t>LIG-4b</t>
        </is>
      </c>
      <c r="G54" s="18">
        <f>IFERROR(INDEX($D:$D,MATCH($F54,$A:$A,0)),"")</f>
        <v/>
      </c>
      <c r="H54" s="19">
        <f>IFERROR(INDEX($E:$E,MATCH($F54,$A:$A,0)),"")</f>
        <v/>
      </c>
      <c r="I54" s="20">
        <f>Lightning!$E$12</f>
        <v/>
      </c>
      <c r="J54" s="21" t="inlineStr">
        <is>
          <t>U+16D4</t>
        </is>
      </c>
    </row>
    <row r="55" ht="24" customHeight="1">
      <c r="A55" s="16" t="inlineStr">
        <is>
          <t>LIG-4b</t>
        </is>
      </c>
      <c r="B55" s="16" t="inlineStr">
        <is>
          <t>Lightning</t>
        </is>
      </c>
      <c r="C55" s="16" t="n">
        <v>4</v>
      </c>
      <c r="D55" s="16" t="inlineStr">
        <is>
          <t>Paralyse</t>
        </is>
      </c>
      <c r="E55" s="17" t="inlineStr">
        <is>
          <t>ᛕ</t>
        </is>
      </c>
      <c r="F55" s="16" t="inlineStr">
        <is>
          <t>LIG-4a</t>
        </is>
      </c>
      <c r="G55" s="18">
        <f>IFERROR(INDEX($D:$D,MATCH($F55,$A:$A,0)),"")</f>
        <v/>
      </c>
      <c r="H55" s="19">
        <f>IFERROR(INDEX($E:$E,MATCH($F55,$A:$A,0)),"")</f>
        <v/>
      </c>
      <c r="I55" s="20">
        <f>Lightning!$E$13</f>
        <v/>
      </c>
      <c r="J55" s="21" t="inlineStr">
        <is>
          <t>U+16D5</t>
        </is>
      </c>
    </row>
    <row r="56" ht="24" customHeight="1">
      <c r="A56" s="16" t="inlineStr">
        <is>
          <t>LIG-5a</t>
        </is>
      </c>
      <c r="B56" s="16" t="inlineStr">
        <is>
          <t>Lightning</t>
        </is>
      </c>
      <c r="C56" s="16" t="n">
        <v>5</v>
      </c>
      <c r="D56" s="16" t="inlineStr">
        <is>
          <t>Sense</t>
        </is>
      </c>
      <c r="E56" s="17" t="inlineStr">
        <is>
          <t>ᛖ</t>
        </is>
      </c>
      <c r="F56" s="16" t="inlineStr">
        <is>
          <t>LIG-5b</t>
        </is>
      </c>
      <c r="G56" s="18">
        <f>IFERROR(INDEX($D:$D,MATCH($F56,$A:$A,0)),"")</f>
        <v/>
      </c>
      <c r="H56" s="19">
        <f>IFERROR(INDEX($E:$E,MATCH($F56,$A:$A,0)),"")</f>
        <v/>
      </c>
      <c r="I56" s="20">
        <f>Lightning!$E$14</f>
        <v/>
      </c>
      <c r="J56" s="21" t="inlineStr">
        <is>
          <t>U+16D6</t>
        </is>
      </c>
    </row>
    <row r="57" ht="24" customHeight="1">
      <c r="A57" s="16" t="inlineStr">
        <is>
          <t>LIG-5b</t>
        </is>
      </c>
      <c r="B57" s="16" t="inlineStr">
        <is>
          <t>Lightning</t>
        </is>
      </c>
      <c r="C57" s="16" t="n">
        <v>5</v>
      </c>
      <c r="D57" s="16" t="inlineStr">
        <is>
          <t>Jam</t>
        </is>
      </c>
      <c r="E57" s="17" t="inlineStr">
        <is>
          <t>ᛗ</t>
        </is>
      </c>
      <c r="F57" s="16" t="inlineStr">
        <is>
          <t>LIG-5a</t>
        </is>
      </c>
      <c r="G57" s="18">
        <f>IFERROR(INDEX($D:$D,MATCH($F57,$A:$A,0)),"")</f>
        <v/>
      </c>
      <c r="H57" s="19">
        <f>IFERROR(INDEX($E:$E,MATCH($F57,$A:$A,0)),"")</f>
        <v/>
      </c>
      <c r="I57" s="20">
        <f>Lightning!$E$15</f>
        <v/>
      </c>
      <c r="J57" s="21" t="inlineStr">
        <is>
          <t>U+16D7</t>
        </is>
      </c>
    </row>
    <row r="58" ht="24" customHeight="1">
      <c r="A58" s="16" t="inlineStr">
        <is>
          <t>ICE-1a</t>
        </is>
      </c>
      <c r="B58" s="16" t="inlineStr">
        <is>
          <t>Ice</t>
        </is>
      </c>
      <c r="C58" s="16" t="n">
        <v>1</v>
      </c>
      <c r="D58" s="16" t="inlineStr">
        <is>
          <t>Freeze</t>
        </is>
      </c>
      <c r="E58" s="22" t="inlineStr">
        <is>
          <t>🜀</t>
        </is>
      </c>
      <c r="F58" s="16" t="inlineStr">
        <is>
          <t>ICE-1b</t>
        </is>
      </c>
      <c r="G58" s="18">
        <f>IFERROR(INDEX($D:$D,MATCH($F58,$A:$A,0)),"")</f>
        <v/>
      </c>
      <c r="H58" s="23">
        <f>IFERROR(INDEX($E:$E,MATCH($F58,$A:$A,0)),"")</f>
        <v/>
      </c>
      <c r="I58" s="20">
        <f>Ice!$E$6</f>
        <v/>
      </c>
      <c r="J58" s="21" t="inlineStr">
        <is>
          <t>U+1F700</t>
        </is>
      </c>
    </row>
    <row r="59" ht="24" customHeight="1">
      <c r="A59" s="16" t="inlineStr">
        <is>
          <t>ICE-1b</t>
        </is>
      </c>
      <c r="B59" s="16" t="inlineStr">
        <is>
          <t>Ice</t>
        </is>
      </c>
      <c r="C59" s="16" t="n">
        <v>1</v>
      </c>
      <c r="D59" s="16" t="inlineStr">
        <is>
          <t>Thaw</t>
        </is>
      </c>
      <c r="E59" s="22" t="inlineStr">
        <is>
          <t>🜁</t>
        </is>
      </c>
      <c r="F59" s="16" t="inlineStr">
        <is>
          <t>ICE-1a</t>
        </is>
      </c>
      <c r="G59" s="18">
        <f>IFERROR(INDEX($D:$D,MATCH($F59,$A:$A,0)),"")</f>
        <v/>
      </c>
      <c r="H59" s="23">
        <f>IFERROR(INDEX($E:$E,MATCH($F59,$A:$A,0)),"")</f>
        <v/>
      </c>
      <c r="I59" s="20">
        <f>Ice!$E$7</f>
        <v/>
      </c>
      <c r="J59" s="21" t="inlineStr">
        <is>
          <t>U+1F701</t>
        </is>
      </c>
    </row>
    <row r="60" ht="24" customHeight="1">
      <c r="A60" s="16" t="inlineStr">
        <is>
          <t>ICE-2a</t>
        </is>
      </c>
      <c r="B60" s="16" t="inlineStr">
        <is>
          <t>Ice</t>
        </is>
      </c>
      <c r="C60" s="16" t="n">
        <v>2</v>
      </c>
      <c r="D60" s="16" t="inlineStr">
        <is>
          <t>Rime</t>
        </is>
      </c>
      <c r="E60" s="22" t="inlineStr">
        <is>
          <t>🜂</t>
        </is>
      </c>
      <c r="F60" s="16" t="inlineStr">
        <is>
          <t>ICE-2b</t>
        </is>
      </c>
      <c r="G60" s="18">
        <f>IFERROR(INDEX($D:$D,MATCH($F60,$A:$A,0)),"")</f>
        <v/>
      </c>
      <c r="H60" s="23">
        <f>IFERROR(INDEX($E:$E,MATCH($F60,$A:$A,0)),"")</f>
        <v/>
      </c>
      <c r="I60" s="20">
        <f>Ice!$E$8</f>
        <v/>
      </c>
      <c r="J60" s="21" t="inlineStr">
        <is>
          <t>U+1F702</t>
        </is>
      </c>
    </row>
    <row r="61" ht="24" customHeight="1">
      <c r="A61" s="16" t="inlineStr">
        <is>
          <t>ICE-2b</t>
        </is>
      </c>
      <c r="B61" s="16" t="inlineStr">
        <is>
          <t>Ice</t>
        </is>
      </c>
      <c r="C61" s="16" t="n">
        <v>2</v>
      </c>
      <c r="D61" s="16" t="inlineStr">
        <is>
          <t>Shatter</t>
        </is>
      </c>
      <c r="E61" s="22" t="inlineStr">
        <is>
          <t>🜃</t>
        </is>
      </c>
      <c r="F61" s="16" t="inlineStr">
        <is>
          <t>ICE-2a</t>
        </is>
      </c>
      <c r="G61" s="18">
        <f>IFERROR(INDEX($D:$D,MATCH($F61,$A:$A,0)),"")</f>
        <v/>
      </c>
      <c r="H61" s="23">
        <f>IFERROR(INDEX($E:$E,MATCH($F61,$A:$A,0)),"")</f>
        <v/>
      </c>
      <c r="I61" s="20">
        <f>Ice!$E$9</f>
        <v/>
      </c>
      <c r="J61" s="21" t="inlineStr">
        <is>
          <t>U+1F703</t>
        </is>
      </c>
    </row>
    <row r="62" ht="24" customHeight="1">
      <c r="A62" s="16" t="inlineStr">
        <is>
          <t>ICE-3a</t>
        </is>
      </c>
      <c r="B62" s="16" t="inlineStr">
        <is>
          <t>Ice</t>
        </is>
      </c>
      <c r="C62" s="16" t="n">
        <v>3</v>
      </c>
      <c r="D62" s="16" t="inlineStr">
        <is>
          <t>Frost</t>
        </is>
      </c>
      <c r="E62" s="22" t="inlineStr">
        <is>
          <t>🜄</t>
        </is>
      </c>
      <c r="F62" s="16" t="inlineStr">
        <is>
          <t>ICE-3b</t>
        </is>
      </c>
      <c r="G62" s="18">
        <f>IFERROR(INDEX($D:$D,MATCH($F62,$A:$A,0)),"")</f>
        <v/>
      </c>
      <c r="H62" s="23">
        <f>IFERROR(INDEX($E:$E,MATCH($F62,$A:$A,0)),"")</f>
        <v/>
      </c>
      <c r="I62" s="20">
        <f>Ice!$E$10</f>
        <v/>
      </c>
      <c r="J62" s="21" t="inlineStr">
        <is>
          <t>U+1F704</t>
        </is>
      </c>
    </row>
    <row r="63" ht="24" customHeight="1">
      <c r="A63" s="16" t="inlineStr">
        <is>
          <t>ICE-3b</t>
        </is>
      </c>
      <c r="B63" s="16" t="inlineStr">
        <is>
          <t>Ice</t>
        </is>
      </c>
      <c r="C63" s="16" t="n">
        <v>3</v>
      </c>
      <c r="D63" s="16" t="inlineStr">
        <is>
          <t>Slick</t>
        </is>
      </c>
      <c r="E63" s="22" t="inlineStr">
        <is>
          <t>🜅</t>
        </is>
      </c>
      <c r="F63" s="16" t="inlineStr">
        <is>
          <t>ICE-3a</t>
        </is>
      </c>
      <c r="G63" s="18">
        <f>IFERROR(INDEX($D:$D,MATCH($F63,$A:$A,0)),"")</f>
        <v/>
      </c>
      <c r="H63" s="23">
        <f>IFERROR(INDEX($E:$E,MATCH($F63,$A:$A,0)),"")</f>
        <v/>
      </c>
      <c r="I63" s="20">
        <f>Ice!$E$11</f>
        <v/>
      </c>
      <c r="J63" s="21" t="inlineStr">
        <is>
          <t>U+1F705</t>
        </is>
      </c>
    </row>
    <row r="64" ht="24" customHeight="1">
      <c r="A64" s="16" t="inlineStr">
        <is>
          <t>ICE-4a</t>
        </is>
      </c>
      <c r="B64" s="16" t="inlineStr">
        <is>
          <t>Ice</t>
        </is>
      </c>
      <c r="C64" s="16" t="n">
        <v>4</v>
      </c>
      <c r="D64" s="16" t="inlineStr">
        <is>
          <t>Brittle</t>
        </is>
      </c>
      <c r="E64" s="22" t="inlineStr">
        <is>
          <t>🜆</t>
        </is>
      </c>
      <c r="F64" s="16" t="inlineStr">
        <is>
          <t>ICE-4b</t>
        </is>
      </c>
      <c r="G64" s="18">
        <f>IFERROR(INDEX($D:$D,MATCH($F64,$A:$A,0)),"")</f>
        <v/>
      </c>
      <c r="H64" s="23">
        <f>IFERROR(INDEX($E:$E,MATCH($F64,$A:$A,0)),"")</f>
        <v/>
      </c>
      <c r="I64" s="20">
        <f>Ice!$E$12</f>
        <v/>
      </c>
      <c r="J64" s="21" t="inlineStr">
        <is>
          <t>U+1F706</t>
        </is>
      </c>
    </row>
    <row r="65" ht="24" customHeight="1">
      <c r="A65" s="16" t="inlineStr">
        <is>
          <t>ICE-4b</t>
        </is>
      </c>
      <c r="B65" s="16" t="inlineStr">
        <is>
          <t>Ice</t>
        </is>
      </c>
      <c r="C65" s="16" t="n">
        <v>4</v>
      </c>
      <c r="D65" s="16" t="inlineStr">
        <is>
          <t>Toughen</t>
        </is>
      </c>
      <c r="E65" s="22" t="inlineStr">
        <is>
          <t>🜇</t>
        </is>
      </c>
      <c r="F65" s="16" t="inlineStr">
        <is>
          <t>ICE-4a</t>
        </is>
      </c>
      <c r="G65" s="18">
        <f>IFERROR(INDEX($D:$D,MATCH($F65,$A:$A,0)),"")</f>
        <v/>
      </c>
      <c r="H65" s="23">
        <f>IFERROR(INDEX($E:$E,MATCH($F65,$A:$A,0)),"")</f>
        <v/>
      </c>
      <c r="I65" s="20">
        <f>Ice!$E$13</f>
        <v/>
      </c>
      <c r="J65" s="21" t="inlineStr">
        <is>
          <t>U+1F707</t>
        </is>
      </c>
    </row>
    <row r="66" ht="24" customHeight="1">
      <c r="A66" s="16" t="inlineStr">
        <is>
          <t>ICE-5a</t>
        </is>
      </c>
      <c r="B66" s="16" t="inlineStr">
        <is>
          <t>Ice</t>
        </is>
      </c>
      <c r="C66" s="16" t="n">
        <v>5</v>
      </c>
      <c r="D66" s="16" t="inlineStr">
        <is>
          <t>Stasis</t>
        </is>
      </c>
      <c r="E66" s="22" t="inlineStr">
        <is>
          <t>🜈</t>
        </is>
      </c>
      <c r="F66" s="16" t="inlineStr">
        <is>
          <t>ICE-5b</t>
        </is>
      </c>
      <c r="G66" s="18">
        <f>IFERROR(INDEX($D:$D,MATCH($F66,$A:$A,0)),"")</f>
        <v/>
      </c>
      <c r="H66" s="23">
        <f>IFERROR(INDEX($E:$E,MATCH($F66,$A:$A,0)),"")</f>
        <v/>
      </c>
      <c r="I66" s="20">
        <f>Ice!$E$14</f>
        <v/>
      </c>
      <c r="J66" s="21" t="inlineStr">
        <is>
          <t>U+1F708</t>
        </is>
      </c>
    </row>
    <row r="67" ht="24" customHeight="1">
      <c r="A67" s="16" t="inlineStr">
        <is>
          <t>ICE-5b</t>
        </is>
      </c>
      <c r="B67" s="16" t="inlineStr">
        <is>
          <t>Ice</t>
        </is>
      </c>
      <c r="C67" s="16" t="n">
        <v>5</v>
      </c>
      <c r="D67" s="16" t="inlineStr">
        <is>
          <t>Frostbite</t>
        </is>
      </c>
      <c r="E67" s="22" t="inlineStr">
        <is>
          <t>🜉</t>
        </is>
      </c>
      <c r="F67" s="16" t="inlineStr">
        <is>
          <t>ICE-5a</t>
        </is>
      </c>
      <c r="G67" s="18">
        <f>IFERROR(INDEX($D:$D,MATCH($F67,$A:$A,0)),"")</f>
        <v/>
      </c>
      <c r="H67" s="23">
        <f>IFERROR(INDEX($E:$E,MATCH($F67,$A:$A,0)),"")</f>
        <v/>
      </c>
      <c r="I67" s="20">
        <f>Ice!$E$15</f>
        <v/>
      </c>
      <c r="J67" s="21" t="inlineStr">
        <is>
          <t>U+1F709</t>
        </is>
      </c>
    </row>
    <row r="68" ht="24" customHeight="1">
      <c r="A68" s="16" t="inlineStr">
        <is>
          <t>DRK-1a</t>
        </is>
      </c>
      <c r="B68" s="16" t="inlineStr">
        <is>
          <t>Dark</t>
        </is>
      </c>
      <c r="C68" s="16" t="n">
        <v>1</v>
      </c>
      <c r="D68" s="16" t="inlineStr">
        <is>
          <t>Deepen</t>
        </is>
      </c>
      <c r="E68" s="22" t="inlineStr">
        <is>
          <t>🜊</t>
        </is>
      </c>
      <c r="F68" s="16" t="inlineStr">
        <is>
          <t>DRK-1b</t>
        </is>
      </c>
      <c r="G68" s="18">
        <f>IFERROR(INDEX($D:$D,MATCH($F68,$A:$A,0)),"")</f>
        <v/>
      </c>
      <c r="H68" s="23">
        <f>IFERROR(INDEX($E:$E,MATCH($F68,$A:$A,0)),"")</f>
        <v/>
      </c>
      <c r="I68" s="20">
        <f>Dark!$E$6</f>
        <v/>
      </c>
      <c r="J68" s="21" t="inlineStr">
        <is>
          <t>U+1F70A</t>
        </is>
      </c>
    </row>
    <row r="69" ht="24" customHeight="1">
      <c r="A69" s="16" t="inlineStr">
        <is>
          <t>DRK-1b</t>
        </is>
      </c>
      <c r="B69" s="16" t="inlineStr">
        <is>
          <t>Dark</t>
        </is>
      </c>
      <c r="C69" s="16" t="n">
        <v>1</v>
      </c>
      <c r="D69" s="16" t="inlineStr">
        <is>
          <t>Dawn</t>
        </is>
      </c>
      <c r="E69" s="22" t="inlineStr">
        <is>
          <t>🜋</t>
        </is>
      </c>
      <c r="F69" s="16" t="inlineStr">
        <is>
          <t>DRK-1a</t>
        </is>
      </c>
      <c r="G69" s="18">
        <f>IFERROR(INDEX($D:$D,MATCH($F69,$A:$A,0)),"")</f>
        <v/>
      </c>
      <c r="H69" s="23">
        <f>IFERROR(INDEX($E:$E,MATCH($F69,$A:$A,0)),"")</f>
        <v/>
      </c>
      <c r="I69" s="20">
        <f>Dark!$E$7</f>
        <v/>
      </c>
      <c r="J69" s="21" t="inlineStr">
        <is>
          <t>U+1F70B</t>
        </is>
      </c>
    </row>
    <row r="70" ht="24" customHeight="1">
      <c r="A70" s="16" t="inlineStr">
        <is>
          <t>DRK-2a</t>
        </is>
      </c>
      <c r="B70" s="16" t="inlineStr">
        <is>
          <t>Dark</t>
        </is>
      </c>
      <c r="C70" s="16" t="n">
        <v>2</v>
      </c>
      <c r="D70" s="16" t="inlineStr">
        <is>
          <t>Cloak</t>
        </is>
      </c>
      <c r="E70" s="22" t="inlineStr">
        <is>
          <t>🜌</t>
        </is>
      </c>
      <c r="F70" s="16" t="inlineStr">
        <is>
          <t>DRK-2b</t>
        </is>
      </c>
      <c r="G70" s="18">
        <f>IFERROR(INDEX($D:$D,MATCH($F70,$A:$A,0)),"")</f>
        <v/>
      </c>
      <c r="H70" s="23">
        <f>IFERROR(INDEX($E:$E,MATCH($F70,$A:$A,0)),"")</f>
        <v/>
      </c>
      <c r="I70" s="20">
        <f>Dark!$E$8</f>
        <v/>
      </c>
      <c r="J70" s="21" t="inlineStr">
        <is>
          <t>U+1F70C</t>
        </is>
      </c>
    </row>
    <row r="71" ht="24" customHeight="1">
      <c r="A71" s="16" t="inlineStr">
        <is>
          <t>DRK-2b</t>
        </is>
      </c>
      <c r="B71" s="16" t="inlineStr">
        <is>
          <t>Dark</t>
        </is>
      </c>
      <c r="C71" s="16" t="n">
        <v>2</v>
      </c>
      <c r="D71" s="16" t="inlineStr">
        <is>
          <t>Silhouette</t>
        </is>
      </c>
      <c r="E71" s="22" t="inlineStr">
        <is>
          <t>🜍</t>
        </is>
      </c>
      <c r="F71" s="16" t="inlineStr">
        <is>
          <t>DRK-2a</t>
        </is>
      </c>
      <c r="G71" s="18">
        <f>IFERROR(INDEX($D:$D,MATCH($F71,$A:$A,0)),"")</f>
        <v/>
      </c>
      <c r="H71" s="23">
        <f>IFERROR(INDEX($E:$E,MATCH($F71,$A:$A,0)),"")</f>
        <v/>
      </c>
      <c r="I71" s="20">
        <f>Dark!$E$9</f>
        <v/>
      </c>
      <c r="J71" s="21" t="inlineStr">
        <is>
          <t>U+1F70D</t>
        </is>
      </c>
    </row>
    <row r="72" ht="24" customHeight="1">
      <c r="A72" s="16" t="inlineStr">
        <is>
          <t>DRK-3a</t>
        </is>
      </c>
      <c r="B72" s="16" t="inlineStr">
        <is>
          <t>Dark</t>
        </is>
      </c>
      <c r="C72" s="16" t="n">
        <v>3</v>
      </c>
      <c r="D72" s="16" t="inlineStr">
        <is>
          <t>Shadowstep</t>
        </is>
      </c>
      <c r="E72" s="22" t="inlineStr">
        <is>
          <t>🜎</t>
        </is>
      </c>
      <c r="F72" s="16" t="inlineStr">
        <is>
          <t>DRK-3b</t>
        </is>
      </c>
      <c r="G72" s="18">
        <f>IFERROR(INDEX($D:$D,MATCH($F72,$A:$A,0)),"")</f>
        <v/>
      </c>
      <c r="H72" s="23">
        <f>IFERROR(INDEX($E:$E,MATCH($F72,$A:$A,0)),"")</f>
        <v/>
      </c>
      <c r="I72" s="20">
        <f>Dark!$E$10</f>
        <v/>
      </c>
      <c r="J72" s="21" t="inlineStr">
        <is>
          <t>U+1F70E</t>
        </is>
      </c>
    </row>
    <row r="73" ht="24" customHeight="1">
      <c r="A73" s="16" t="inlineStr">
        <is>
          <t>DRK-3b</t>
        </is>
      </c>
      <c r="B73" s="16" t="inlineStr">
        <is>
          <t>Dark</t>
        </is>
      </c>
      <c r="C73" s="16" t="n">
        <v>3</v>
      </c>
      <c r="D73" s="16" t="inlineStr">
        <is>
          <t>Pin</t>
        </is>
      </c>
      <c r="E73" s="22" t="inlineStr">
        <is>
          <t>🜏</t>
        </is>
      </c>
      <c r="F73" s="16" t="inlineStr">
        <is>
          <t>DRK-3a</t>
        </is>
      </c>
      <c r="G73" s="18">
        <f>IFERROR(INDEX($D:$D,MATCH($F73,$A:$A,0)),"")</f>
        <v/>
      </c>
      <c r="H73" s="23">
        <f>IFERROR(INDEX($E:$E,MATCH($F73,$A:$A,0)),"")</f>
        <v/>
      </c>
      <c r="I73" s="20">
        <f>Dark!$E$11</f>
        <v/>
      </c>
      <c r="J73" s="21" t="inlineStr">
        <is>
          <t>U+1F70F</t>
        </is>
      </c>
    </row>
    <row r="74" ht="24" customHeight="1">
      <c r="A74" s="16" t="inlineStr">
        <is>
          <t>DRK-4a</t>
        </is>
      </c>
      <c r="B74" s="16" t="inlineStr">
        <is>
          <t>Dark</t>
        </is>
      </c>
      <c r="C74" s="16" t="n">
        <v>4</v>
      </c>
      <c r="D74" s="16" t="inlineStr">
        <is>
          <t>Devour</t>
        </is>
      </c>
      <c r="E74" s="22" t="inlineStr">
        <is>
          <t>🜐</t>
        </is>
      </c>
      <c r="F74" s="16" t="inlineStr">
        <is>
          <t>DRK-4b</t>
        </is>
      </c>
      <c r="G74" s="18">
        <f>IFERROR(INDEX($D:$D,MATCH($F74,$A:$A,0)),"")</f>
        <v/>
      </c>
      <c r="H74" s="23">
        <f>IFERROR(INDEX($E:$E,MATCH($F74,$A:$A,0)),"")</f>
        <v/>
      </c>
      <c r="I74" s="20">
        <f>Dark!$E$12</f>
        <v/>
      </c>
      <c r="J74" s="21" t="inlineStr">
        <is>
          <t>U+1F710</t>
        </is>
      </c>
    </row>
    <row r="75" ht="24" customHeight="1">
      <c r="A75" s="16" t="inlineStr">
        <is>
          <t>DRK-4b</t>
        </is>
      </c>
      <c r="B75" s="16" t="inlineStr">
        <is>
          <t>Dark</t>
        </is>
      </c>
      <c r="C75" s="16" t="n">
        <v>4</v>
      </c>
      <c r="D75" s="16" t="inlineStr">
        <is>
          <t>Disgorge</t>
        </is>
      </c>
      <c r="E75" s="22" t="inlineStr">
        <is>
          <t>🜑</t>
        </is>
      </c>
      <c r="F75" s="16" t="inlineStr">
        <is>
          <t>DRK-4a</t>
        </is>
      </c>
      <c r="G75" s="18">
        <f>IFERROR(INDEX($D:$D,MATCH($F75,$A:$A,0)),"")</f>
        <v/>
      </c>
      <c r="H75" s="23">
        <f>IFERROR(INDEX($E:$E,MATCH($F75,$A:$A,0)),"")</f>
        <v/>
      </c>
      <c r="I75" s="20">
        <f>Dark!$E$13</f>
        <v/>
      </c>
      <c r="J75" s="21" t="inlineStr">
        <is>
          <t>U+1F711</t>
        </is>
      </c>
    </row>
    <row r="76" ht="24" customHeight="1">
      <c r="A76" s="16" t="inlineStr">
        <is>
          <t>DRK-5a</t>
        </is>
      </c>
      <c r="B76" s="16" t="inlineStr">
        <is>
          <t>Dark</t>
        </is>
      </c>
      <c r="C76" s="16" t="n">
        <v>5</v>
      </c>
      <c r="D76" s="16" t="inlineStr">
        <is>
          <t>Dread</t>
        </is>
      </c>
      <c r="E76" s="22" t="inlineStr">
        <is>
          <t>🜒</t>
        </is>
      </c>
      <c r="F76" s="16" t="inlineStr">
        <is>
          <t>DRK-5b</t>
        </is>
      </c>
      <c r="G76" s="18">
        <f>IFERROR(INDEX($D:$D,MATCH($F76,$A:$A,0)),"")</f>
        <v/>
      </c>
      <c r="H76" s="23">
        <f>IFERROR(INDEX($E:$E,MATCH($F76,$A:$A,0)),"")</f>
        <v/>
      </c>
      <c r="I76" s="20">
        <f>Dark!$E$14</f>
        <v/>
      </c>
      <c r="J76" s="21" t="inlineStr">
        <is>
          <t>U+1F712</t>
        </is>
      </c>
    </row>
    <row r="77" ht="24" customHeight="1">
      <c r="A77" s="16" t="inlineStr">
        <is>
          <t>DRK-5b</t>
        </is>
      </c>
      <c r="B77" s="16" t="inlineStr">
        <is>
          <t>Dark</t>
        </is>
      </c>
      <c r="C77" s="16" t="n">
        <v>5</v>
      </c>
      <c r="D77" s="16" t="inlineStr">
        <is>
          <t>Hush</t>
        </is>
      </c>
      <c r="E77" s="22" t="inlineStr">
        <is>
          <t>🜓</t>
        </is>
      </c>
      <c r="F77" s="16" t="inlineStr">
        <is>
          <t>DRK-5a</t>
        </is>
      </c>
      <c r="G77" s="18">
        <f>IFERROR(INDEX($D:$D,MATCH($F77,$A:$A,0)),"")</f>
        <v/>
      </c>
      <c r="H77" s="23">
        <f>IFERROR(INDEX($E:$E,MATCH($F77,$A:$A,0)),"")</f>
        <v/>
      </c>
      <c r="I77" s="20">
        <f>Dark!$E$15</f>
        <v/>
      </c>
      <c r="J77" s="21" t="inlineStr">
        <is>
          <t>U+1F713</t>
        </is>
      </c>
    </row>
    <row r="78" ht="24" customHeight="1">
      <c r="A78" s="16" t="inlineStr">
        <is>
          <t>MET-1a</t>
        </is>
      </c>
      <c r="B78" s="16" t="inlineStr">
        <is>
          <t>Metal</t>
        </is>
      </c>
      <c r="C78" s="16" t="n">
        <v>1</v>
      </c>
      <c r="D78" s="16" t="inlineStr">
        <is>
          <t>Forge</t>
        </is>
      </c>
      <c r="E78" s="22" t="inlineStr">
        <is>
          <t>🜔</t>
        </is>
      </c>
      <c r="F78" s="16" t="inlineStr">
        <is>
          <t>MET-1b</t>
        </is>
      </c>
      <c r="G78" s="18">
        <f>IFERROR(INDEX($D:$D,MATCH($F78,$A:$A,0)),"")</f>
        <v/>
      </c>
      <c r="H78" s="23">
        <f>IFERROR(INDEX($E:$E,MATCH($F78,$A:$A,0)),"")</f>
        <v/>
      </c>
      <c r="I78" s="20">
        <f>Metal!$E$6</f>
        <v/>
      </c>
      <c r="J78" s="21" t="inlineStr">
        <is>
          <t>U+1F714</t>
        </is>
      </c>
    </row>
    <row r="79" ht="24" customHeight="1">
      <c r="A79" s="16" t="inlineStr">
        <is>
          <t>MET-1b</t>
        </is>
      </c>
      <c r="B79" s="16" t="inlineStr">
        <is>
          <t>Metal</t>
        </is>
      </c>
      <c r="C79" s="16" t="n">
        <v>1</v>
      </c>
      <c r="D79" s="16" t="inlineStr">
        <is>
          <t>Rust</t>
        </is>
      </c>
      <c r="E79" s="22" t="inlineStr">
        <is>
          <t>🜕</t>
        </is>
      </c>
      <c r="F79" s="16" t="inlineStr">
        <is>
          <t>MET-1a</t>
        </is>
      </c>
      <c r="G79" s="18">
        <f>IFERROR(INDEX($D:$D,MATCH($F79,$A:$A,0)),"")</f>
        <v/>
      </c>
      <c r="H79" s="23">
        <f>IFERROR(INDEX($E:$E,MATCH($F79,$A:$A,0)),"")</f>
        <v/>
      </c>
      <c r="I79" s="20">
        <f>Metal!$E$7</f>
        <v/>
      </c>
      <c r="J79" s="21" t="inlineStr">
        <is>
          <t>U+1F715</t>
        </is>
      </c>
    </row>
    <row r="80" ht="24" customHeight="1">
      <c r="A80" s="16" t="inlineStr">
        <is>
          <t>MET-2a</t>
        </is>
      </c>
      <c r="B80" s="16" t="inlineStr">
        <is>
          <t>Metal</t>
        </is>
      </c>
      <c r="C80" s="16" t="n">
        <v>2</v>
      </c>
      <c r="D80" s="16" t="inlineStr">
        <is>
          <t>Draw</t>
        </is>
      </c>
      <c r="E80" s="22" t="inlineStr">
        <is>
          <t>🜖</t>
        </is>
      </c>
      <c r="F80" s="16" t="inlineStr">
        <is>
          <t>MET-2b</t>
        </is>
      </c>
      <c r="G80" s="18">
        <f>IFERROR(INDEX($D:$D,MATCH($F80,$A:$A,0)),"")</f>
        <v/>
      </c>
      <c r="H80" s="23">
        <f>IFERROR(INDEX($E:$E,MATCH($F80,$A:$A,0)),"")</f>
        <v/>
      </c>
      <c r="I80" s="20">
        <f>Metal!$E$8</f>
        <v/>
      </c>
      <c r="J80" s="21" t="inlineStr">
        <is>
          <t>U+1F716</t>
        </is>
      </c>
    </row>
    <row r="81" ht="24" customHeight="1">
      <c r="A81" s="16" t="inlineStr">
        <is>
          <t>MET-2b</t>
        </is>
      </c>
      <c r="B81" s="16" t="inlineStr">
        <is>
          <t>Metal</t>
        </is>
      </c>
      <c r="C81" s="16" t="n">
        <v>2</v>
      </c>
      <c r="D81" s="16" t="inlineStr">
        <is>
          <t>Spurn</t>
        </is>
      </c>
      <c r="E81" s="22" t="inlineStr">
        <is>
          <t>🜗</t>
        </is>
      </c>
      <c r="F81" s="16" t="inlineStr">
        <is>
          <t>MET-2a</t>
        </is>
      </c>
      <c r="G81" s="18">
        <f>IFERROR(INDEX($D:$D,MATCH($F81,$A:$A,0)),"")</f>
        <v/>
      </c>
      <c r="H81" s="23">
        <f>IFERROR(INDEX($E:$E,MATCH($F81,$A:$A,0)),"")</f>
        <v/>
      </c>
      <c r="I81" s="20">
        <f>Metal!$E$9</f>
        <v/>
      </c>
      <c r="J81" s="21" t="inlineStr">
        <is>
          <t>U+1F717</t>
        </is>
      </c>
    </row>
    <row r="82" ht="24" customHeight="1">
      <c r="A82" s="16" t="inlineStr">
        <is>
          <t>MET-3a</t>
        </is>
      </c>
      <c r="B82" s="16" t="inlineStr">
        <is>
          <t>Metal</t>
        </is>
      </c>
      <c r="C82" s="16" t="n">
        <v>3</v>
      </c>
      <c r="D82" s="16" t="inlineStr">
        <is>
          <t>Hone</t>
        </is>
      </c>
      <c r="E82" s="22" t="inlineStr">
        <is>
          <t>🜘</t>
        </is>
      </c>
      <c r="F82" s="16" t="inlineStr">
        <is>
          <t>MET-3b</t>
        </is>
      </c>
      <c r="G82" s="18">
        <f>IFERROR(INDEX($D:$D,MATCH($F82,$A:$A,0)),"")</f>
        <v/>
      </c>
      <c r="H82" s="23">
        <f>IFERROR(INDEX($E:$E,MATCH($F82,$A:$A,0)),"")</f>
        <v/>
      </c>
      <c r="I82" s="20">
        <f>Metal!$E$10</f>
        <v/>
      </c>
      <c r="J82" s="21" t="inlineStr">
        <is>
          <t>U+1F718</t>
        </is>
      </c>
    </row>
    <row r="83" ht="24" customHeight="1">
      <c r="A83" s="16" t="inlineStr">
        <is>
          <t>MET-3b</t>
        </is>
      </c>
      <c r="B83" s="16" t="inlineStr">
        <is>
          <t>Metal</t>
        </is>
      </c>
      <c r="C83" s="16" t="n">
        <v>3</v>
      </c>
      <c r="D83" s="16" t="inlineStr">
        <is>
          <t>Dull</t>
        </is>
      </c>
      <c r="E83" s="22" t="inlineStr">
        <is>
          <t>🜙</t>
        </is>
      </c>
      <c r="F83" s="16" t="inlineStr">
        <is>
          <t>MET-3a</t>
        </is>
      </c>
      <c r="G83" s="18">
        <f>IFERROR(INDEX($D:$D,MATCH($F83,$A:$A,0)),"")</f>
        <v/>
      </c>
      <c r="H83" s="23">
        <f>IFERROR(INDEX($E:$E,MATCH($F83,$A:$A,0)),"")</f>
        <v/>
      </c>
      <c r="I83" s="20">
        <f>Metal!$E$11</f>
        <v/>
      </c>
      <c r="J83" s="21" t="inlineStr">
        <is>
          <t>U+1F719</t>
        </is>
      </c>
    </row>
    <row r="84" ht="24" customHeight="1">
      <c r="A84" s="16" t="inlineStr">
        <is>
          <t>MET-4a</t>
        </is>
      </c>
      <c r="B84" s="16" t="inlineStr">
        <is>
          <t>Metal</t>
        </is>
      </c>
      <c r="C84" s="16" t="n">
        <v>4</v>
      </c>
      <c r="D84" s="16" t="inlineStr">
        <is>
          <t>Plate</t>
        </is>
      </c>
      <c r="E84" s="22" t="inlineStr">
        <is>
          <t>🜚</t>
        </is>
      </c>
      <c r="F84" s="16" t="inlineStr">
        <is>
          <t>MET-4b</t>
        </is>
      </c>
      <c r="G84" s="18">
        <f>IFERROR(INDEX($D:$D,MATCH($F84,$A:$A,0)),"")</f>
        <v/>
      </c>
      <c r="H84" s="23">
        <f>IFERROR(INDEX($E:$E,MATCH($F84,$A:$A,0)),"")</f>
        <v/>
      </c>
      <c r="I84" s="20">
        <f>Metal!$E$12</f>
        <v/>
      </c>
      <c r="J84" s="21" t="inlineStr">
        <is>
          <t>U+1F71A</t>
        </is>
      </c>
    </row>
    <row r="85" ht="24" customHeight="1">
      <c r="A85" s="16" t="inlineStr">
        <is>
          <t>MET-4b</t>
        </is>
      </c>
      <c r="B85" s="16" t="inlineStr">
        <is>
          <t>Metal</t>
        </is>
      </c>
      <c r="C85" s="16" t="n">
        <v>4</v>
      </c>
      <c r="D85" s="16" t="inlineStr">
        <is>
          <t>Strip</t>
        </is>
      </c>
      <c r="E85" s="22" t="inlineStr">
        <is>
          <t>🜛</t>
        </is>
      </c>
      <c r="F85" s="16" t="inlineStr">
        <is>
          <t>MET-4a</t>
        </is>
      </c>
      <c r="G85" s="18">
        <f>IFERROR(INDEX($D:$D,MATCH($F85,$A:$A,0)),"")</f>
        <v/>
      </c>
      <c r="H85" s="23">
        <f>IFERROR(INDEX($E:$E,MATCH($F85,$A:$A,0)),"")</f>
        <v/>
      </c>
      <c r="I85" s="20">
        <f>Metal!$E$13</f>
        <v/>
      </c>
      <c r="J85" s="21" t="inlineStr">
        <is>
          <t>U+1F71B</t>
        </is>
      </c>
    </row>
    <row r="86" ht="24" customHeight="1">
      <c r="A86" s="16" t="inlineStr">
        <is>
          <t>MET-5a</t>
        </is>
      </c>
      <c r="B86" s="16" t="inlineStr">
        <is>
          <t>Metal</t>
        </is>
      </c>
      <c r="C86" s="16" t="n">
        <v>5</v>
      </c>
      <c r="D86" s="16" t="inlineStr">
        <is>
          <t>Ring</t>
        </is>
      </c>
      <c r="E86" s="22" t="inlineStr">
        <is>
          <t>🜜</t>
        </is>
      </c>
      <c r="F86" s="16" t="inlineStr">
        <is>
          <t>MET-5b</t>
        </is>
      </c>
      <c r="G86" s="18">
        <f>IFERROR(INDEX($D:$D,MATCH($F86,$A:$A,0)),"")</f>
        <v/>
      </c>
      <c r="H86" s="23">
        <f>IFERROR(INDEX($E:$E,MATCH($F86,$A:$A,0)),"")</f>
        <v/>
      </c>
      <c r="I86" s="20">
        <f>Metal!$E$14</f>
        <v/>
      </c>
      <c r="J86" s="21" t="inlineStr">
        <is>
          <t>U+1F71C</t>
        </is>
      </c>
    </row>
    <row r="87" ht="24" customHeight="1">
      <c r="A87" s="16" t="inlineStr">
        <is>
          <t>MET-5b</t>
        </is>
      </c>
      <c r="B87" s="16" t="inlineStr">
        <is>
          <t>Metal</t>
        </is>
      </c>
      <c r="C87" s="16" t="n">
        <v>5</v>
      </c>
      <c r="D87" s="16" t="inlineStr">
        <is>
          <t>Deaden</t>
        </is>
      </c>
      <c r="E87" s="22" t="inlineStr">
        <is>
          <t>🜝</t>
        </is>
      </c>
      <c r="F87" s="16" t="inlineStr">
        <is>
          <t>MET-5a</t>
        </is>
      </c>
      <c r="G87" s="18">
        <f>IFERROR(INDEX($D:$D,MATCH($F87,$A:$A,0)),"")</f>
        <v/>
      </c>
      <c r="H87" s="23">
        <f>IFERROR(INDEX($E:$E,MATCH($F87,$A:$A,0)),"")</f>
        <v/>
      </c>
      <c r="I87" s="20">
        <f>Metal!$E$15</f>
        <v/>
      </c>
      <c r="J87" s="21" t="inlineStr">
        <is>
          <t>U+1F71D</t>
        </is>
      </c>
    </row>
    <row r="88" ht="24" customHeight="1">
      <c r="A88" s="16" t="inlineStr">
        <is>
          <t>BLD-1a</t>
        </is>
      </c>
      <c r="B88" s="16" t="inlineStr">
        <is>
          <t>Blood</t>
        </is>
      </c>
      <c r="C88" s="16" t="n">
        <v>1</v>
      </c>
      <c r="D88" s="16" t="inlineStr">
        <is>
          <t>Bleed</t>
        </is>
      </c>
      <c r="E88" s="22" t="inlineStr">
        <is>
          <t>🜞</t>
        </is>
      </c>
      <c r="F88" s="16" t="inlineStr">
        <is>
          <t>BLD-1b</t>
        </is>
      </c>
      <c r="G88" s="18">
        <f>IFERROR(INDEX($D:$D,MATCH($F88,$A:$A,0)),"")</f>
        <v/>
      </c>
      <c r="H88" s="23">
        <f>IFERROR(INDEX($E:$E,MATCH($F88,$A:$A,0)),"")</f>
        <v/>
      </c>
      <c r="I88" s="20">
        <f>Blood!$E$6</f>
        <v/>
      </c>
      <c r="J88" s="21" t="inlineStr">
        <is>
          <t>U+1F71E</t>
        </is>
      </c>
    </row>
    <row r="89" ht="24" customHeight="1">
      <c r="A89" s="16" t="inlineStr">
        <is>
          <t>BLD-1b</t>
        </is>
      </c>
      <c r="B89" s="16" t="inlineStr">
        <is>
          <t>Blood</t>
        </is>
      </c>
      <c r="C89" s="16" t="n">
        <v>1</v>
      </c>
      <c r="D89" s="16" t="inlineStr">
        <is>
          <t>Staunch</t>
        </is>
      </c>
      <c r="E89" s="22" t="inlineStr">
        <is>
          <t>🜟</t>
        </is>
      </c>
      <c r="F89" s="16" t="inlineStr">
        <is>
          <t>BLD-1a</t>
        </is>
      </c>
      <c r="G89" s="18">
        <f>IFERROR(INDEX($D:$D,MATCH($F89,$A:$A,0)),"")</f>
        <v/>
      </c>
      <c r="H89" s="23">
        <f>IFERROR(INDEX($E:$E,MATCH($F89,$A:$A,0)),"")</f>
        <v/>
      </c>
      <c r="I89" s="20">
        <f>Blood!$E$7</f>
        <v/>
      </c>
      <c r="J89" s="21" t="inlineStr">
        <is>
          <t>U+1F71F</t>
        </is>
      </c>
    </row>
    <row r="90" ht="24" customHeight="1">
      <c r="A90" s="16" t="inlineStr">
        <is>
          <t>BLD-2a</t>
        </is>
      </c>
      <c r="B90" s="16" t="inlineStr">
        <is>
          <t>Blood</t>
        </is>
      </c>
      <c r="C90" s="16" t="n">
        <v>2</v>
      </c>
      <c r="D90" s="16" t="inlineStr">
        <is>
          <t>Drink</t>
        </is>
      </c>
      <c r="E90" s="22" t="inlineStr">
        <is>
          <t>🜠</t>
        </is>
      </c>
      <c r="F90" s="16" t="inlineStr">
        <is>
          <t>BLD-2b</t>
        </is>
      </c>
      <c r="G90" s="18">
        <f>IFERROR(INDEX($D:$D,MATCH($F90,$A:$A,0)),"")</f>
        <v/>
      </c>
      <c r="H90" s="23">
        <f>IFERROR(INDEX($E:$E,MATCH($F90,$A:$A,0)),"")</f>
        <v/>
      </c>
      <c r="I90" s="20">
        <f>Blood!$E$8</f>
        <v/>
      </c>
      <c r="J90" s="21" t="inlineStr">
        <is>
          <t>U+1F720</t>
        </is>
      </c>
    </row>
    <row r="91" ht="24" customHeight="1">
      <c r="A91" s="16" t="inlineStr">
        <is>
          <t>BLD-2b</t>
        </is>
      </c>
      <c r="B91" s="16" t="inlineStr">
        <is>
          <t>Blood</t>
        </is>
      </c>
      <c r="C91" s="16" t="n">
        <v>2</v>
      </c>
      <c r="D91" s="16" t="inlineStr">
        <is>
          <t>Spill</t>
        </is>
      </c>
      <c r="E91" s="22" t="inlineStr">
        <is>
          <t>🜡</t>
        </is>
      </c>
      <c r="F91" s="16" t="inlineStr">
        <is>
          <t>BLD-2a</t>
        </is>
      </c>
      <c r="G91" s="18">
        <f>IFERROR(INDEX($D:$D,MATCH($F91,$A:$A,0)),"")</f>
        <v/>
      </c>
      <c r="H91" s="23">
        <f>IFERROR(INDEX($E:$E,MATCH($F91,$A:$A,0)),"")</f>
        <v/>
      </c>
      <c r="I91" s="20">
        <f>Blood!$E$9</f>
        <v/>
      </c>
      <c r="J91" s="21" t="inlineStr">
        <is>
          <t>U+1F721</t>
        </is>
      </c>
    </row>
    <row r="92" ht="24" customHeight="1">
      <c r="A92" s="16" t="inlineStr">
        <is>
          <t>BLD-3a</t>
        </is>
      </c>
      <c r="B92" s="16" t="inlineStr">
        <is>
          <t>Blood</t>
        </is>
      </c>
      <c r="C92" s="16" t="n">
        <v>3</v>
      </c>
      <c r="D92" s="16" t="inlineStr">
        <is>
          <t>Thicken</t>
        </is>
      </c>
      <c r="E92" s="22" t="inlineStr">
        <is>
          <t>🜢</t>
        </is>
      </c>
      <c r="F92" s="16" t="inlineStr">
        <is>
          <t>BLD-3b</t>
        </is>
      </c>
      <c r="G92" s="18">
        <f>IFERROR(INDEX($D:$D,MATCH($F92,$A:$A,0)),"")</f>
        <v/>
      </c>
      <c r="H92" s="23">
        <f>IFERROR(INDEX($E:$E,MATCH($F92,$A:$A,0)),"")</f>
        <v/>
      </c>
      <c r="I92" s="20">
        <f>Blood!$E$10</f>
        <v/>
      </c>
      <c r="J92" s="21" t="inlineStr">
        <is>
          <t>U+1F722</t>
        </is>
      </c>
    </row>
    <row r="93" ht="24" customHeight="1">
      <c r="A93" s="16" t="inlineStr">
        <is>
          <t>BLD-3b</t>
        </is>
      </c>
      <c r="B93" s="16" t="inlineStr">
        <is>
          <t>Blood</t>
        </is>
      </c>
      <c r="C93" s="16" t="n">
        <v>3</v>
      </c>
      <c r="D93" s="16" t="inlineStr">
        <is>
          <t>Thin</t>
        </is>
      </c>
      <c r="E93" s="22" t="inlineStr">
        <is>
          <t>🜣</t>
        </is>
      </c>
      <c r="F93" s="16" t="inlineStr">
        <is>
          <t>BLD-3a</t>
        </is>
      </c>
      <c r="G93" s="18">
        <f>IFERROR(INDEX($D:$D,MATCH($F93,$A:$A,0)),"")</f>
        <v/>
      </c>
      <c r="H93" s="23">
        <f>IFERROR(INDEX($E:$E,MATCH($F93,$A:$A,0)),"")</f>
        <v/>
      </c>
      <c r="I93" s="20">
        <f>Blood!$E$11</f>
        <v/>
      </c>
      <c r="J93" s="21" t="inlineStr">
        <is>
          <t>U+1F723</t>
        </is>
      </c>
    </row>
    <row r="94" ht="24" customHeight="1">
      <c r="A94" s="16" t="inlineStr">
        <is>
          <t>BLD-4a</t>
        </is>
      </c>
      <c r="B94" s="16" t="inlineStr">
        <is>
          <t>Blood</t>
        </is>
      </c>
      <c r="C94" s="16" t="n">
        <v>4</v>
      </c>
      <c r="D94" s="16" t="inlineStr">
        <is>
          <t>Race</t>
        </is>
      </c>
      <c r="E94" s="22" t="inlineStr">
        <is>
          <t>🜤</t>
        </is>
      </c>
      <c r="F94" s="16" t="inlineStr">
        <is>
          <t>BLD-4b</t>
        </is>
      </c>
      <c r="G94" s="18">
        <f>IFERROR(INDEX($D:$D,MATCH($F94,$A:$A,0)),"")</f>
        <v/>
      </c>
      <c r="H94" s="23">
        <f>IFERROR(INDEX($E:$E,MATCH($F94,$A:$A,0)),"")</f>
        <v/>
      </c>
      <c r="I94" s="20">
        <f>Blood!$E$12</f>
        <v/>
      </c>
      <c r="J94" s="21" t="inlineStr">
        <is>
          <t>U+1F724</t>
        </is>
      </c>
    </row>
    <row r="95" ht="24" customHeight="1">
      <c r="A95" s="16" t="inlineStr">
        <is>
          <t>BLD-4b</t>
        </is>
      </c>
      <c r="B95" s="16" t="inlineStr">
        <is>
          <t>Blood</t>
        </is>
      </c>
      <c r="C95" s="16" t="n">
        <v>4</v>
      </c>
      <c r="D95" s="16" t="inlineStr">
        <is>
          <t>Stall</t>
        </is>
      </c>
      <c r="E95" s="22" t="inlineStr">
        <is>
          <t>🜥</t>
        </is>
      </c>
      <c r="F95" s="16" t="inlineStr">
        <is>
          <t>BLD-4a</t>
        </is>
      </c>
      <c r="G95" s="18">
        <f>IFERROR(INDEX($D:$D,MATCH($F95,$A:$A,0)),"")</f>
        <v/>
      </c>
      <c r="H95" s="23">
        <f>IFERROR(INDEX($E:$E,MATCH($F95,$A:$A,0)),"")</f>
        <v/>
      </c>
      <c r="I95" s="20">
        <f>Blood!$E$13</f>
        <v/>
      </c>
      <c r="J95" s="21" t="inlineStr">
        <is>
          <t>U+1F725</t>
        </is>
      </c>
    </row>
    <row r="96" ht="24" customHeight="1">
      <c r="A96" s="16" t="inlineStr">
        <is>
          <t>BLD-5a</t>
        </is>
      </c>
      <c r="B96" s="16" t="inlineStr">
        <is>
          <t>Blood</t>
        </is>
      </c>
      <c r="C96" s="16" t="n">
        <v>5</v>
      </c>
      <c r="D96" s="16" t="inlineStr">
        <is>
          <t>Brand</t>
        </is>
      </c>
      <c r="E96" s="22" t="inlineStr">
        <is>
          <t>🜦</t>
        </is>
      </c>
      <c r="F96" s="16" t="inlineStr">
        <is>
          <t>BLD-5b</t>
        </is>
      </c>
      <c r="G96" s="18">
        <f>IFERROR(INDEX($D:$D,MATCH($F96,$A:$A,0)),"")</f>
        <v/>
      </c>
      <c r="H96" s="23">
        <f>IFERROR(INDEX($E:$E,MATCH($F96,$A:$A,0)),"")</f>
        <v/>
      </c>
      <c r="I96" s="20">
        <f>Blood!$E$14</f>
        <v/>
      </c>
      <c r="J96" s="21" t="inlineStr">
        <is>
          <t>U+1F726</t>
        </is>
      </c>
    </row>
    <row r="97" ht="24" customHeight="1">
      <c r="A97" s="16" t="inlineStr">
        <is>
          <t>BLD-5b</t>
        </is>
      </c>
      <c r="B97" s="16" t="inlineStr">
        <is>
          <t>Blood</t>
        </is>
      </c>
      <c r="C97" s="16" t="n">
        <v>5</v>
      </c>
      <c r="D97" s="16" t="inlineStr">
        <is>
          <t>Disown</t>
        </is>
      </c>
      <c r="E97" s="22" t="inlineStr">
        <is>
          <t>🜧</t>
        </is>
      </c>
      <c r="F97" s="16" t="inlineStr">
        <is>
          <t>BLD-5a</t>
        </is>
      </c>
      <c r="G97" s="18">
        <f>IFERROR(INDEX($D:$D,MATCH($F97,$A:$A,0)),"")</f>
        <v/>
      </c>
      <c r="H97" s="23">
        <f>IFERROR(INDEX($E:$E,MATCH($F97,$A:$A,0)),"")</f>
        <v/>
      </c>
      <c r="I97" s="20">
        <f>Blood!$E$15</f>
        <v/>
      </c>
      <c r="J97" s="21" t="inlineStr">
        <is>
          <t>U+1F727</t>
        </is>
      </c>
    </row>
    <row r="98" ht="24" customHeight="1">
      <c r="A98" s="16" t="inlineStr">
        <is>
          <t>LIF-1a</t>
        </is>
      </c>
      <c r="B98" s="16" t="inlineStr">
        <is>
          <t>Life</t>
        </is>
      </c>
      <c r="C98" s="16" t="n">
        <v>1</v>
      </c>
      <c r="D98" s="16" t="inlineStr">
        <is>
          <t>Mend</t>
        </is>
      </c>
      <c r="E98" s="22" t="inlineStr">
        <is>
          <t>🜨</t>
        </is>
      </c>
      <c r="F98" s="16" t="inlineStr">
        <is>
          <t>LIF-1b</t>
        </is>
      </c>
      <c r="G98" s="18">
        <f>IFERROR(INDEX($D:$D,MATCH($F98,$A:$A,0)),"")</f>
        <v/>
      </c>
      <c r="H98" s="23">
        <f>IFERROR(INDEX($E:$E,MATCH($F98,$A:$A,0)),"")</f>
        <v/>
      </c>
      <c r="I98" s="20">
        <f>Life!$E$6</f>
        <v/>
      </c>
      <c r="J98" s="21" t="inlineStr">
        <is>
          <t>U+1F728</t>
        </is>
      </c>
    </row>
    <row r="99" ht="24" customHeight="1">
      <c r="A99" s="16" t="inlineStr">
        <is>
          <t>LIF-1b</t>
        </is>
      </c>
      <c r="B99" s="16" t="inlineStr">
        <is>
          <t>Life</t>
        </is>
      </c>
      <c r="C99" s="16" t="n">
        <v>1</v>
      </c>
      <c r="D99" s="16" t="inlineStr">
        <is>
          <t>Wither</t>
        </is>
      </c>
      <c r="E99" s="22" t="inlineStr">
        <is>
          <t>🜩</t>
        </is>
      </c>
      <c r="F99" s="16" t="inlineStr">
        <is>
          <t>LIF-1a</t>
        </is>
      </c>
      <c r="G99" s="18">
        <f>IFERROR(INDEX($D:$D,MATCH($F99,$A:$A,0)),"")</f>
        <v/>
      </c>
      <c r="H99" s="23">
        <f>IFERROR(INDEX($E:$E,MATCH($F99,$A:$A,0)),"")</f>
        <v/>
      </c>
      <c r="I99" s="20">
        <f>Life!$E$7</f>
        <v/>
      </c>
      <c r="J99" s="21" t="inlineStr">
        <is>
          <t>U+1F729</t>
        </is>
      </c>
    </row>
    <row r="100" ht="24" customHeight="1">
      <c r="A100" s="16" t="inlineStr">
        <is>
          <t>LIF-2a</t>
        </is>
      </c>
      <c r="B100" s="16" t="inlineStr">
        <is>
          <t>Life</t>
        </is>
      </c>
      <c r="C100" s="16" t="n">
        <v>2</v>
      </c>
      <c r="D100" s="16" t="inlineStr">
        <is>
          <t>Swell</t>
        </is>
      </c>
      <c r="E100" s="22" t="inlineStr">
        <is>
          <t>🜪</t>
        </is>
      </c>
      <c r="F100" s="16" t="inlineStr">
        <is>
          <t>LIF-2b</t>
        </is>
      </c>
      <c r="G100" s="18">
        <f>IFERROR(INDEX($D:$D,MATCH($F100,$A:$A,0)),"")</f>
        <v/>
      </c>
      <c r="H100" s="23">
        <f>IFERROR(INDEX($E:$E,MATCH($F100,$A:$A,0)),"")</f>
        <v/>
      </c>
      <c r="I100" s="20">
        <f>Life!$E$8</f>
        <v/>
      </c>
      <c r="J100" s="21" t="inlineStr">
        <is>
          <t>U+1F72A</t>
        </is>
      </c>
    </row>
    <row r="101" ht="24" customHeight="1">
      <c r="A101" s="16" t="inlineStr">
        <is>
          <t>LIF-2b</t>
        </is>
      </c>
      <c r="B101" s="16" t="inlineStr">
        <is>
          <t>Life</t>
        </is>
      </c>
      <c r="C101" s="16" t="n">
        <v>2</v>
      </c>
      <c r="D101" s="16" t="inlineStr">
        <is>
          <t>Waste</t>
        </is>
      </c>
      <c r="E101" s="22" t="inlineStr">
        <is>
          <t>🜫</t>
        </is>
      </c>
      <c r="F101" s="16" t="inlineStr">
        <is>
          <t>LIF-2a</t>
        </is>
      </c>
      <c r="G101" s="18">
        <f>IFERROR(INDEX($D:$D,MATCH($F101,$A:$A,0)),"")</f>
        <v/>
      </c>
      <c r="H101" s="23">
        <f>IFERROR(INDEX($E:$E,MATCH($F101,$A:$A,0)),"")</f>
        <v/>
      </c>
      <c r="I101" s="20">
        <f>Life!$E$9</f>
        <v/>
      </c>
      <c r="J101" s="21" t="inlineStr">
        <is>
          <t>U+1F72B</t>
        </is>
      </c>
    </row>
    <row r="102" ht="24" customHeight="1">
      <c r="A102" s="16" t="inlineStr">
        <is>
          <t>LIF-3a</t>
        </is>
      </c>
      <c r="B102" s="16" t="inlineStr">
        <is>
          <t>Life</t>
        </is>
      </c>
      <c r="C102" s="16" t="n">
        <v>3</v>
      </c>
      <c r="D102" s="16" t="inlineStr">
        <is>
          <t>Vigour</t>
        </is>
      </c>
      <c r="E102" s="22" t="inlineStr">
        <is>
          <t>🜬</t>
        </is>
      </c>
      <c r="F102" s="16" t="inlineStr">
        <is>
          <t>LIF-3b</t>
        </is>
      </c>
      <c r="G102" s="18">
        <f>IFERROR(INDEX($D:$D,MATCH($F102,$A:$A,0)),"")</f>
        <v/>
      </c>
      <c r="H102" s="23">
        <f>IFERROR(INDEX($E:$E,MATCH($F102,$A:$A,0)),"")</f>
        <v/>
      </c>
      <c r="I102" s="20">
        <f>Life!$E$10</f>
        <v/>
      </c>
      <c r="J102" s="21" t="inlineStr">
        <is>
          <t>U+1F72C</t>
        </is>
      </c>
    </row>
    <row r="103" ht="24" customHeight="1">
      <c r="A103" s="16" t="inlineStr">
        <is>
          <t>LIF-3b</t>
        </is>
      </c>
      <c r="B103" s="16" t="inlineStr">
        <is>
          <t>Life</t>
        </is>
      </c>
      <c r="C103" s="16" t="n">
        <v>3</v>
      </c>
      <c r="D103" s="16" t="inlineStr">
        <is>
          <t>Exhaust</t>
        </is>
      </c>
      <c r="E103" s="22" t="inlineStr">
        <is>
          <t>🜭</t>
        </is>
      </c>
      <c r="F103" s="16" t="inlineStr">
        <is>
          <t>LIF-3a</t>
        </is>
      </c>
      <c r="G103" s="18">
        <f>IFERROR(INDEX($D:$D,MATCH($F103,$A:$A,0)),"")</f>
        <v/>
      </c>
      <c r="H103" s="23">
        <f>IFERROR(INDEX($E:$E,MATCH($F103,$A:$A,0)),"")</f>
        <v/>
      </c>
      <c r="I103" s="20">
        <f>Life!$E$11</f>
        <v/>
      </c>
      <c r="J103" s="21" t="inlineStr">
        <is>
          <t>U+1F72D</t>
        </is>
      </c>
    </row>
    <row r="104" ht="24" customHeight="1">
      <c r="A104" s="16" t="inlineStr">
        <is>
          <t>LIF-4a</t>
        </is>
      </c>
      <c r="B104" s="16" t="inlineStr">
        <is>
          <t>Life</t>
        </is>
      </c>
      <c r="C104" s="16" t="n">
        <v>4</v>
      </c>
      <c r="D104" s="16" t="inlineStr">
        <is>
          <t>Regrow</t>
        </is>
      </c>
      <c r="E104" s="22" t="inlineStr">
        <is>
          <t>🜮</t>
        </is>
      </c>
      <c r="F104" s="16" t="inlineStr">
        <is>
          <t>LIF-4b</t>
        </is>
      </c>
      <c r="G104" s="18">
        <f>IFERROR(INDEX($D:$D,MATCH($F104,$A:$A,0)),"")</f>
        <v/>
      </c>
      <c r="H104" s="23">
        <f>IFERROR(INDEX($E:$E,MATCH($F104,$A:$A,0)),"")</f>
        <v/>
      </c>
      <c r="I104" s="20">
        <f>Life!$E$12</f>
        <v/>
      </c>
      <c r="J104" s="21" t="inlineStr">
        <is>
          <t>U+1F72E</t>
        </is>
      </c>
    </row>
    <row r="105" ht="24" customHeight="1">
      <c r="A105" s="16" t="inlineStr">
        <is>
          <t>LIF-4b</t>
        </is>
      </c>
      <c r="B105" s="16" t="inlineStr">
        <is>
          <t>Life</t>
        </is>
      </c>
      <c r="C105" s="16" t="n">
        <v>4</v>
      </c>
      <c r="D105" s="16" t="inlineStr">
        <is>
          <t>Arrest</t>
        </is>
      </c>
      <c r="E105" s="22" t="inlineStr">
        <is>
          <t>🜯</t>
        </is>
      </c>
      <c r="F105" s="16" t="inlineStr">
        <is>
          <t>LIF-4a</t>
        </is>
      </c>
      <c r="G105" s="18">
        <f>IFERROR(INDEX($D:$D,MATCH($F105,$A:$A,0)),"")</f>
        <v/>
      </c>
      <c r="H105" s="23">
        <f>IFERROR(INDEX($E:$E,MATCH($F105,$A:$A,0)),"")</f>
        <v/>
      </c>
      <c r="I105" s="20">
        <f>Life!$E$13</f>
        <v/>
      </c>
      <c r="J105" s="21" t="inlineStr">
        <is>
          <t>U+1F72F</t>
        </is>
      </c>
    </row>
    <row r="106" ht="24" customHeight="1">
      <c r="A106" s="16" t="inlineStr">
        <is>
          <t>LIF-5a</t>
        </is>
      </c>
      <c r="B106" s="16" t="inlineStr">
        <is>
          <t>Life</t>
        </is>
      </c>
      <c r="C106" s="16" t="n">
        <v>5</v>
      </c>
      <c r="D106" s="16" t="inlineStr">
        <is>
          <t>Rouse</t>
        </is>
      </c>
      <c r="E106" s="22" t="inlineStr">
        <is>
          <t>🜰</t>
        </is>
      </c>
      <c r="F106" s="16" t="inlineStr">
        <is>
          <t>LIF-5b</t>
        </is>
      </c>
      <c r="G106" s="18">
        <f>IFERROR(INDEX($D:$D,MATCH($F106,$A:$A,0)),"")</f>
        <v/>
      </c>
      <c r="H106" s="23">
        <f>IFERROR(INDEX($E:$E,MATCH($F106,$A:$A,0)),"")</f>
        <v/>
      </c>
      <c r="I106" s="20">
        <f>Life!$E$14</f>
        <v/>
      </c>
      <c r="J106" s="21" t="inlineStr">
        <is>
          <t>U+1F730</t>
        </is>
      </c>
    </row>
    <row r="107" ht="24" customHeight="1">
      <c r="A107" s="16" t="inlineStr">
        <is>
          <t>LIF-5b</t>
        </is>
      </c>
      <c r="B107" s="16" t="inlineStr">
        <is>
          <t>Life</t>
        </is>
      </c>
      <c r="C107" s="16" t="n">
        <v>5</v>
      </c>
      <c r="D107" s="16" t="inlineStr">
        <is>
          <t>Numb</t>
        </is>
      </c>
      <c r="E107" s="22" t="inlineStr">
        <is>
          <t>🜱</t>
        </is>
      </c>
      <c r="F107" s="16" t="inlineStr">
        <is>
          <t>LIF-5a</t>
        </is>
      </c>
      <c r="G107" s="18">
        <f>IFERROR(INDEX($D:$D,MATCH($F107,$A:$A,0)),"")</f>
        <v/>
      </c>
      <c r="H107" s="23">
        <f>IFERROR(INDEX($E:$E,MATCH($F107,$A:$A,0)),"")</f>
        <v/>
      </c>
      <c r="I107" s="20">
        <f>Life!$E$15</f>
        <v/>
      </c>
      <c r="J107" s="21" t="inlineStr">
        <is>
          <t>U+1F731</t>
        </is>
      </c>
    </row>
    <row r="108" ht="24" customHeight="1">
      <c r="A108" s="16" t="inlineStr">
        <is>
          <t>DTH-1a</t>
        </is>
      </c>
      <c r="B108" s="16" t="inlineStr">
        <is>
          <t>Death</t>
        </is>
      </c>
      <c r="C108" s="16" t="n">
        <v>1</v>
      </c>
      <c r="D108" s="16" t="inlineStr">
        <is>
          <t>Reap</t>
        </is>
      </c>
      <c r="E108" s="22" t="inlineStr">
        <is>
          <t>🜲</t>
        </is>
      </c>
      <c r="F108" s="16" t="inlineStr">
        <is>
          <t>DTH-1b</t>
        </is>
      </c>
      <c r="G108" s="18">
        <f>IFERROR(INDEX($D:$D,MATCH($F108,$A:$A,0)),"")</f>
        <v/>
      </c>
      <c r="H108" s="23">
        <f>IFERROR(INDEX($E:$E,MATCH($F108,$A:$A,0)),"")</f>
        <v/>
      </c>
      <c r="I108" s="20">
        <f>Death!$E$6</f>
        <v/>
      </c>
      <c r="J108" s="21" t="inlineStr">
        <is>
          <t>U+1F732</t>
        </is>
      </c>
    </row>
    <row r="109" ht="24" customHeight="1">
      <c r="A109" s="16" t="inlineStr">
        <is>
          <t>DTH-1b</t>
        </is>
      </c>
      <c r="B109" s="16" t="inlineStr">
        <is>
          <t>Death</t>
        </is>
      </c>
      <c r="C109" s="16" t="n">
        <v>1</v>
      </c>
      <c r="D109" s="16" t="inlineStr">
        <is>
          <t>Spare</t>
        </is>
      </c>
      <c r="E109" s="22" t="inlineStr">
        <is>
          <t>🜳</t>
        </is>
      </c>
      <c r="F109" s="16" t="inlineStr">
        <is>
          <t>DTH-1a</t>
        </is>
      </c>
      <c r="G109" s="18">
        <f>IFERROR(INDEX($D:$D,MATCH($F109,$A:$A,0)),"")</f>
        <v/>
      </c>
      <c r="H109" s="23">
        <f>IFERROR(INDEX($E:$E,MATCH($F109,$A:$A,0)),"")</f>
        <v/>
      </c>
      <c r="I109" s="20">
        <f>Death!$E$7</f>
        <v/>
      </c>
      <c r="J109" s="21" t="inlineStr">
        <is>
          <t>U+1F733</t>
        </is>
      </c>
    </row>
    <row r="110" ht="24" customHeight="1">
      <c r="A110" s="16" t="inlineStr">
        <is>
          <t>DTH-2a</t>
        </is>
      </c>
      <c r="B110" s="16" t="inlineStr">
        <is>
          <t>Death</t>
        </is>
      </c>
      <c r="C110" s="16" t="n">
        <v>2</v>
      </c>
      <c r="D110" s="16" t="inlineStr">
        <is>
          <t>Raise</t>
        </is>
      </c>
      <c r="E110" s="22" t="inlineStr">
        <is>
          <t>🜴</t>
        </is>
      </c>
      <c r="F110" s="16" t="inlineStr">
        <is>
          <t>DTH-2b</t>
        </is>
      </c>
      <c r="G110" s="18">
        <f>IFERROR(INDEX($D:$D,MATCH($F110,$A:$A,0)),"")</f>
        <v/>
      </c>
      <c r="H110" s="23">
        <f>IFERROR(INDEX($E:$E,MATCH($F110,$A:$A,0)),"")</f>
        <v/>
      </c>
      <c r="I110" s="20">
        <f>Death!$E$8</f>
        <v/>
      </c>
      <c r="J110" s="21" t="inlineStr">
        <is>
          <t>U+1F734</t>
        </is>
      </c>
    </row>
    <row r="111" ht="24" customHeight="1">
      <c r="A111" s="16" t="inlineStr">
        <is>
          <t>DTH-2b</t>
        </is>
      </c>
      <c r="B111" s="16" t="inlineStr">
        <is>
          <t>Death</t>
        </is>
      </c>
      <c r="C111" s="16" t="n">
        <v>2</v>
      </c>
      <c r="D111" s="16" t="inlineStr">
        <is>
          <t>Lay</t>
        </is>
      </c>
      <c r="E111" s="22" t="inlineStr">
        <is>
          <t>🜵</t>
        </is>
      </c>
      <c r="F111" s="16" t="inlineStr">
        <is>
          <t>DTH-2a</t>
        </is>
      </c>
      <c r="G111" s="18">
        <f>IFERROR(INDEX($D:$D,MATCH($F111,$A:$A,0)),"")</f>
        <v/>
      </c>
      <c r="H111" s="23">
        <f>IFERROR(INDEX($E:$E,MATCH($F111,$A:$A,0)),"")</f>
        <v/>
      </c>
      <c r="I111" s="20">
        <f>Death!$E$9</f>
        <v/>
      </c>
      <c r="J111" s="21" t="inlineStr">
        <is>
          <t>U+1F735</t>
        </is>
      </c>
    </row>
    <row r="112" ht="24" customHeight="1">
      <c r="A112" s="16" t="inlineStr">
        <is>
          <t>DTH-3a</t>
        </is>
      </c>
      <c r="B112" s="16" t="inlineStr">
        <is>
          <t>Death</t>
        </is>
      </c>
      <c r="C112" s="16" t="n">
        <v>3</v>
      </c>
      <c r="D112" s="16" t="inlineStr">
        <is>
          <t>Rot</t>
        </is>
      </c>
      <c r="E112" s="22" t="inlineStr">
        <is>
          <t>🜶</t>
        </is>
      </c>
      <c r="F112" s="16" t="inlineStr">
        <is>
          <t>DTH-3b</t>
        </is>
      </c>
      <c r="G112" s="18">
        <f>IFERROR(INDEX($D:$D,MATCH($F112,$A:$A,0)),"")</f>
        <v/>
      </c>
      <c r="H112" s="23">
        <f>IFERROR(INDEX($E:$E,MATCH($F112,$A:$A,0)),"")</f>
        <v/>
      </c>
      <c r="I112" s="20">
        <f>Death!$E$10</f>
        <v/>
      </c>
      <c r="J112" s="21" t="inlineStr">
        <is>
          <t>U+1F736</t>
        </is>
      </c>
    </row>
    <row r="113" ht="24" customHeight="1">
      <c r="A113" s="16" t="inlineStr">
        <is>
          <t>DTH-3b</t>
        </is>
      </c>
      <c r="B113" s="16" t="inlineStr">
        <is>
          <t>Death</t>
        </is>
      </c>
      <c r="C113" s="16" t="n">
        <v>3</v>
      </c>
      <c r="D113" s="16" t="inlineStr">
        <is>
          <t>Preserve</t>
        </is>
      </c>
      <c r="E113" s="22" t="inlineStr">
        <is>
          <t>🜷</t>
        </is>
      </c>
      <c r="F113" s="16" t="inlineStr">
        <is>
          <t>DTH-3a</t>
        </is>
      </c>
      <c r="G113" s="18">
        <f>IFERROR(INDEX($D:$D,MATCH($F113,$A:$A,0)),"")</f>
        <v/>
      </c>
      <c r="H113" s="23">
        <f>IFERROR(INDEX($E:$E,MATCH($F113,$A:$A,0)),"")</f>
        <v/>
      </c>
      <c r="I113" s="20">
        <f>Death!$E$11</f>
        <v/>
      </c>
      <c r="J113" s="21" t="inlineStr">
        <is>
          <t>U+1F737</t>
        </is>
      </c>
    </row>
    <row r="114" ht="24" customHeight="1">
      <c r="A114" s="16" t="inlineStr">
        <is>
          <t>DTH-4a</t>
        </is>
      </c>
      <c r="B114" s="16" t="inlineStr">
        <is>
          <t>Death</t>
        </is>
      </c>
      <c r="C114" s="16" t="n">
        <v>4</v>
      </c>
      <c r="D114" s="16" t="inlineStr">
        <is>
          <t>Haunt</t>
        </is>
      </c>
      <c r="E114" s="22" t="inlineStr">
        <is>
          <t>🜸</t>
        </is>
      </c>
      <c r="F114" s="16" t="inlineStr">
        <is>
          <t>DTH-4b</t>
        </is>
      </c>
      <c r="G114" s="18">
        <f>IFERROR(INDEX($D:$D,MATCH($F114,$A:$A,0)),"")</f>
        <v/>
      </c>
      <c r="H114" s="23">
        <f>IFERROR(INDEX($E:$E,MATCH($F114,$A:$A,0)),"")</f>
        <v/>
      </c>
      <c r="I114" s="20">
        <f>Death!$E$12</f>
        <v/>
      </c>
      <c r="J114" s="21" t="inlineStr">
        <is>
          <t>U+1F738</t>
        </is>
      </c>
    </row>
    <row r="115" ht="24" customHeight="1">
      <c r="A115" s="16" t="inlineStr">
        <is>
          <t>DTH-4b</t>
        </is>
      </c>
      <c r="B115" s="16" t="inlineStr">
        <is>
          <t>Death</t>
        </is>
      </c>
      <c r="C115" s="16" t="n">
        <v>4</v>
      </c>
      <c r="D115" s="16" t="inlineStr">
        <is>
          <t>Exorcise</t>
        </is>
      </c>
      <c r="E115" s="22" t="inlineStr">
        <is>
          <t>🜹</t>
        </is>
      </c>
      <c r="F115" s="16" t="inlineStr">
        <is>
          <t>DTH-4a</t>
        </is>
      </c>
      <c r="G115" s="18">
        <f>IFERROR(INDEX($D:$D,MATCH($F115,$A:$A,0)),"")</f>
        <v/>
      </c>
      <c r="H115" s="23">
        <f>IFERROR(INDEX($E:$E,MATCH($F115,$A:$A,0)),"")</f>
        <v/>
      </c>
      <c r="I115" s="20">
        <f>Death!$E$13</f>
        <v/>
      </c>
      <c r="J115" s="21" t="inlineStr">
        <is>
          <t>U+1F739</t>
        </is>
      </c>
    </row>
    <row r="116" ht="24" customHeight="1">
      <c r="A116" s="16" t="inlineStr">
        <is>
          <t>DTH-5a</t>
        </is>
      </c>
      <c r="B116" s="16" t="inlineStr">
        <is>
          <t>Death</t>
        </is>
      </c>
      <c r="C116" s="16" t="n">
        <v>5</v>
      </c>
      <c r="D116" s="16" t="inlineStr">
        <is>
          <t>Doom</t>
        </is>
      </c>
      <c r="E116" s="22" t="inlineStr">
        <is>
          <t>🜺</t>
        </is>
      </c>
      <c r="F116" s="16" t="inlineStr">
        <is>
          <t>DTH-5b</t>
        </is>
      </c>
      <c r="G116" s="18">
        <f>IFERROR(INDEX($D:$D,MATCH($F116,$A:$A,0)),"")</f>
        <v/>
      </c>
      <c r="H116" s="23">
        <f>IFERROR(INDEX($E:$E,MATCH($F116,$A:$A,0)),"")</f>
        <v/>
      </c>
      <c r="I116" s="20">
        <f>Death!$E$14</f>
        <v/>
      </c>
      <c r="J116" s="21" t="inlineStr">
        <is>
          <t>U+1F73A</t>
        </is>
      </c>
    </row>
    <row r="117" ht="24" customHeight="1">
      <c r="A117" s="16" t="inlineStr">
        <is>
          <t>DTH-5b</t>
        </is>
      </c>
      <c r="B117" s="16" t="inlineStr">
        <is>
          <t>Death</t>
        </is>
      </c>
      <c r="C117" s="16" t="n">
        <v>5</v>
      </c>
      <c r="D117" s="16" t="inlineStr">
        <is>
          <t>Reprieve</t>
        </is>
      </c>
      <c r="E117" s="22" t="inlineStr">
        <is>
          <t>🜻</t>
        </is>
      </c>
      <c r="F117" s="16" t="inlineStr">
        <is>
          <t>DTH-5a</t>
        </is>
      </c>
      <c r="G117" s="18">
        <f>IFERROR(INDEX($D:$D,MATCH($F117,$A:$A,0)),"")</f>
        <v/>
      </c>
      <c r="H117" s="23">
        <f>IFERROR(INDEX($E:$E,MATCH($F117,$A:$A,0)),"")</f>
        <v/>
      </c>
      <c r="I117" s="20">
        <f>Death!$E$15</f>
        <v/>
      </c>
      <c r="J117" s="21" t="inlineStr">
        <is>
          <t>U+1F73B</t>
        </is>
      </c>
    </row>
    <row r="118" ht="24" customHeight="1">
      <c r="A118" s="16" t="inlineStr">
        <is>
          <t>NAT-1a</t>
        </is>
      </c>
      <c r="B118" s="16" t="inlineStr">
        <is>
          <t>Nature</t>
        </is>
      </c>
      <c r="C118" s="16" t="n">
        <v>1</v>
      </c>
      <c r="D118" s="16" t="inlineStr">
        <is>
          <t>Sprout</t>
        </is>
      </c>
      <c r="E118" s="22" t="inlineStr">
        <is>
          <t>🜼</t>
        </is>
      </c>
      <c r="F118" s="16" t="inlineStr">
        <is>
          <t>NAT-1b</t>
        </is>
      </c>
      <c r="G118" s="18">
        <f>IFERROR(INDEX($D:$D,MATCH($F118,$A:$A,0)),"")</f>
        <v/>
      </c>
      <c r="H118" s="23">
        <f>IFERROR(INDEX($E:$E,MATCH($F118,$A:$A,0)),"")</f>
        <v/>
      </c>
      <c r="I118" s="20">
        <f>Nature!$E$6</f>
        <v/>
      </c>
      <c r="J118" s="21" t="inlineStr">
        <is>
          <t>U+1F73C</t>
        </is>
      </c>
    </row>
    <row r="119" ht="24" customHeight="1">
      <c r="A119" s="16" t="inlineStr">
        <is>
          <t>NAT-1b</t>
        </is>
      </c>
      <c r="B119" s="16" t="inlineStr">
        <is>
          <t>Nature</t>
        </is>
      </c>
      <c r="C119" s="16" t="n">
        <v>1</v>
      </c>
      <c r="D119" s="16" t="inlineStr">
        <is>
          <t>Wilt</t>
        </is>
      </c>
      <c r="E119" s="22" t="inlineStr">
        <is>
          <t>🜽</t>
        </is>
      </c>
      <c r="F119" s="16" t="inlineStr">
        <is>
          <t>NAT-1a</t>
        </is>
      </c>
      <c r="G119" s="18">
        <f>IFERROR(INDEX($D:$D,MATCH($F119,$A:$A,0)),"")</f>
        <v/>
      </c>
      <c r="H119" s="23">
        <f>IFERROR(INDEX($E:$E,MATCH($F119,$A:$A,0)),"")</f>
        <v/>
      </c>
      <c r="I119" s="20">
        <f>Nature!$E$7</f>
        <v/>
      </c>
      <c r="J119" s="21" t="inlineStr">
        <is>
          <t>U+1F73D</t>
        </is>
      </c>
    </row>
    <row r="120" ht="24" customHeight="1">
      <c r="A120" s="16" t="inlineStr">
        <is>
          <t>NAT-2a</t>
        </is>
      </c>
      <c r="B120" s="16" t="inlineStr">
        <is>
          <t>Nature</t>
        </is>
      </c>
      <c r="C120" s="16" t="n">
        <v>2</v>
      </c>
      <c r="D120" s="16" t="inlineStr">
        <is>
          <t>Tangle</t>
        </is>
      </c>
      <c r="E120" s="22" t="inlineStr">
        <is>
          <t>🜾</t>
        </is>
      </c>
      <c r="F120" s="16" t="inlineStr">
        <is>
          <t>NAT-2b</t>
        </is>
      </c>
      <c r="G120" s="18">
        <f>IFERROR(INDEX($D:$D,MATCH($F120,$A:$A,0)),"")</f>
        <v/>
      </c>
      <c r="H120" s="23">
        <f>IFERROR(INDEX($E:$E,MATCH($F120,$A:$A,0)),"")</f>
        <v/>
      </c>
      <c r="I120" s="20">
        <f>Nature!$E$8</f>
        <v/>
      </c>
      <c r="J120" s="21" t="inlineStr">
        <is>
          <t>U+1F73E</t>
        </is>
      </c>
    </row>
    <row r="121" ht="24" customHeight="1">
      <c r="A121" s="16" t="inlineStr">
        <is>
          <t>NAT-2b</t>
        </is>
      </c>
      <c r="B121" s="16" t="inlineStr">
        <is>
          <t>Nature</t>
        </is>
      </c>
      <c r="C121" s="16" t="n">
        <v>2</v>
      </c>
      <c r="D121" s="16" t="inlineStr">
        <is>
          <t>Unravel</t>
        </is>
      </c>
      <c r="E121" s="22" t="inlineStr">
        <is>
          <t>🜿</t>
        </is>
      </c>
      <c r="F121" s="16" t="inlineStr">
        <is>
          <t>NAT-2a</t>
        </is>
      </c>
      <c r="G121" s="18">
        <f>IFERROR(INDEX($D:$D,MATCH($F121,$A:$A,0)),"")</f>
        <v/>
      </c>
      <c r="H121" s="23">
        <f>IFERROR(INDEX($E:$E,MATCH($F121,$A:$A,0)),"")</f>
        <v/>
      </c>
      <c r="I121" s="20">
        <f>Nature!$E$9</f>
        <v/>
      </c>
      <c r="J121" s="21" t="inlineStr">
        <is>
          <t>U+1F73F</t>
        </is>
      </c>
    </row>
    <row r="122" ht="24" customHeight="1">
      <c r="A122" s="16" t="inlineStr">
        <is>
          <t>NAT-3a</t>
        </is>
      </c>
      <c r="B122" s="16" t="inlineStr">
        <is>
          <t>Nature</t>
        </is>
      </c>
      <c r="C122" s="16" t="n">
        <v>3</v>
      </c>
      <c r="D122" s="16" t="inlineStr">
        <is>
          <t>Bloom</t>
        </is>
      </c>
      <c r="E122" s="22" t="inlineStr">
        <is>
          <t>🝀</t>
        </is>
      </c>
      <c r="F122" s="16" t="inlineStr">
        <is>
          <t>NAT-3b</t>
        </is>
      </c>
      <c r="G122" s="18">
        <f>IFERROR(INDEX($D:$D,MATCH($F122,$A:$A,0)),"")</f>
        <v/>
      </c>
      <c r="H122" s="23">
        <f>IFERROR(INDEX($E:$E,MATCH($F122,$A:$A,0)),"")</f>
        <v/>
      </c>
      <c r="I122" s="20">
        <f>Nature!$E$10</f>
        <v/>
      </c>
      <c r="J122" s="21" t="inlineStr">
        <is>
          <t>U+1F740</t>
        </is>
      </c>
    </row>
    <row r="123" ht="24" customHeight="1">
      <c r="A123" s="16" t="inlineStr">
        <is>
          <t>NAT-3b</t>
        </is>
      </c>
      <c r="B123" s="16" t="inlineStr">
        <is>
          <t>Nature</t>
        </is>
      </c>
      <c r="C123" s="16" t="n">
        <v>3</v>
      </c>
      <c r="D123" s="16" t="inlineStr">
        <is>
          <t>Seed</t>
        </is>
      </c>
      <c r="E123" s="22" t="inlineStr">
        <is>
          <t>🝁</t>
        </is>
      </c>
      <c r="F123" s="16" t="inlineStr">
        <is>
          <t>NAT-3a</t>
        </is>
      </c>
      <c r="G123" s="18">
        <f>IFERROR(INDEX($D:$D,MATCH($F123,$A:$A,0)),"")</f>
        <v/>
      </c>
      <c r="H123" s="23">
        <f>IFERROR(INDEX($E:$E,MATCH($F123,$A:$A,0)),"")</f>
        <v/>
      </c>
      <c r="I123" s="20">
        <f>Nature!$E$11</f>
        <v/>
      </c>
      <c r="J123" s="21" t="inlineStr">
        <is>
          <t>U+1F741</t>
        </is>
      </c>
    </row>
    <row r="124" ht="24" customHeight="1">
      <c r="A124" s="16" t="inlineStr">
        <is>
          <t>NAT-4a</t>
        </is>
      </c>
      <c r="B124" s="16" t="inlineStr">
        <is>
          <t>Nature</t>
        </is>
      </c>
      <c r="C124" s="16" t="n">
        <v>4</v>
      </c>
      <c r="D124" s="16" t="inlineStr">
        <is>
          <t>Thorn</t>
        </is>
      </c>
      <c r="E124" s="22" t="inlineStr">
        <is>
          <t>🝂</t>
        </is>
      </c>
      <c r="F124" s="16" t="inlineStr">
        <is>
          <t>NAT-4b</t>
        </is>
      </c>
      <c r="G124" s="18">
        <f>IFERROR(INDEX($D:$D,MATCH($F124,$A:$A,0)),"")</f>
        <v/>
      </c>
      <c r="H124" s="23">
        <f>IFERROR(INDEX($E:$E,MATCH($F124,$A:$A,0)),"")</f>
        <v/>
      </c>
      <c r="I124" s="20">
        <f>Nature!$E$12</f>
        <v/>
      </c>
      <c r="J124" s="21" t="inlineStr">
        <is>
          <t>U+1F742</t>
        </is>
      </c>
    </row>
    <row r="125" ht="24" customHeight="1">
      <c r="A125" s="16" t="inlineStr">
        <is>
          <t>NAT-4b</t>
        </is>
      </c>
      <c r="B125" s="16" t="inlineStr">
        <is>
          <t>Nature</t>
        </is>
      </c>
      <c r="C125" s="16" t="n">
        <v>4</v>
      </c>
      <c r="D125" s="16" t="inlineStr">
        <is>
          <t>Moss</t>
        </is>
      </c>
      <c r="E125" s="22" t="inlineStr">
        <is>
          <t>🝃</t>
        </is>
      </c>
      <c r="F125" s="16" t="inlineStr">
        <is>
          <t>NAT-4a</t>
        </is>
      </c>
      <c r="G125" s="18">
        <f>IFERROR(INDEX($D:$D,MATCH($F125,$A:$A,0)),"")</f>
        <v/>
      </c>
      <c r="H125" s="23">
        <f>IFERROR(INDEX($E:$E,MATCH($F125,$A:$A,0)),"")</f>
        <v/>
      </c>
      <c r="I125" s="20">
        <f>Nature!$E$13</f>
        <v/>
      </c>
      <c r="J125" s="21" t="inlineStr">
        <is>
          <t>U+1F743</t>
        </is>
      </c>
    </row>
    <row r="126" ht="24" customHeight="1">
      <c r="A126" s="16" t="inlineStr">
        <is>
          <t>NAT-5a</t>
        </is>
      </c>
      <c r="B126" s="16" t="inlineStr">
        <is>
          <t>Nature</t>
        </is>
      </c>
      <c r="C126" s="16" t="n">
        <v>5</v>
      </c>
      <c r="D126" s="16" t="inlineStr">
        <is>
          <t>Feed</t>
        </is>
      </c>
      <c r="E126" s="22" t="inlineStr">
        <is>
          <t>🝄</t>
        </is>
      </c>
      <c r="F126" s="16" t="inlineStr">
        <is>
          <t>NAT-5b</t>
        </is>
      </c>
      <c r="G126" s="18">
        <f>IFERROR(INDEX($D:$D,MATCH($F126,$A:$A,0)),"")</f>
        <v/>
      </c>
      <c r="H126" s="23">
        <f>IFERROR(INDEX($E:$E,MATCH($F126,$A:$A,0)),"")</f>
        <v/>
      </c>
      <c r="I126" s="20">
        <f>Nature!$E$14</f>
        <v/>
      </c>
      <c r="J126" s="21" t="inlineStr">
        <is>
          <t>U+1F744</t>
        </is>
      </c>
    </row>
    <row r="127" ht="24" customHeight="1">
      <c r="A127" s="16" t="inlineStr">
        <is>
          <t>NAT-5b</t>
        </is>
      </c>
      <c r="B127" s="16" t="inlineStr">
        <is>
          <t>Nature</t>
        </is>
      </c>
      <c r="C127" s="16" t="n">
        <v>5</v>
      </c>
      <c r="D127" s="16" t="inlineStr">
        <is>
          <t>Starve</t>
        </is>
      </c>
      <c r="E127" s="22" t="inlineStr">
        <is>
          <t>🝅</t>
        </is>
      </c>
      <c r="F127" s="16" t="inlineStr">
        <is>
          <t>NAT-5a</t>
        </is>
      </c>
      <c r="G127" s="18">
        <f>IFERROR(INDEX($D:$D,MATCH($F127,$A:$A,0)),"")</f>
        <v/>
      </c>
      <c r="H127" s="23">
        <f>IFERROR(INDEX($E:$E,MATCH($F127,$A:$A,0)),"")</f>
        <v/>
      </c>
      <c r="I127" s="20">
        <f>Nature!$E$15</f>
        <v/>
      </c>
      <c r="J127" s="21" t="inlineStr">
        <is>
          <t>U+1F745</t>
        </is>
      </c>
    </row>
    <row r="128" ht="24" customHeight="1">
      <c r="A128" s="16" t="inlineStr">
        <is>
          <t>LGT-1a</t>
        </is>
      </c>
      <c r="B128" s="16" t="inlineStr">
        <is>
          <t>Light</t>
        </is>
      </c>
      <c r="C128" s="16" t="n">
        <v>1</v>
      </c>
      <c r="D128" s="16" t="inlineStr">
        <is>
          <t>Shine</t>
        </is>
      </c>
      <c r="E128" s="22" t="inlineStr">
        <is>
          <t>🝆</t>
        </is>
      </c>
      <c r="F128" s="16" t="inlineStr">
        <is>
          <t>LGT-1b</t>
        </is>
      </c>
      <c r="G128" s="18">
        <f>IFERROR(INDEX($D:$D,MATCH($F128,$A:$A,0)),"")</f>
        <v/>
      </c>
      <c r="H128" s="23">
        <f>IFERROR(INDEX($E:$E,MATCH($F128,$A:$A,0)),"")</f>
        <v/>
      </c>
      <c r="I128" s="20">
        <f>Light!$E$6</f>
        <v/>
      </c>
      <c r="J128" s="21" t="inlineStr">
        <is>
          <t>U+1F746</t>
        </is>
      </c>
    </row>
    <row r="129" ht="24" customHeight="1">
      <c r="A129" s="16" t="inlineStr">
        <is>
          <t>LGT-1b</t>
        </is>
      </c>
      <c r="B129" s="16" t="inlineStr">
        <is>
          <t>Light</t>
        </is>
      </c>
      <c r="C129" s="16" t="n">
        <v>1</v>
      </c>
      <c r="D129" s="16" t="inlineStr">
        <is>
          <t>Shade</t>
        </is>
      </c>
      <c r="E129" s="22" t="inlineStr">
        <is>
          <t>🝇</t>
        </is>
      </c>
      <c r="F129" s="16" t="inlineStr">
        <is>
          <t>LGT-1a</t>
        </is>
      </c>
      <c r="G129" s="18">
        <f>IFERROR(INDEX($D:$D,MATCH($F129,$A:$A,0)),"")</f>
        <v/>
      </c>
      <c r="H129" s="23">
        <f>IFERROR(INDEX($E:$E,MATCH($F129,$A:$A,0)),"")</f>
        <v/>
      </c>
      <c r="I129" s="20">
        <f>Light!$E$7</f>
        <v/>
      </c>
      <c r="J129" s="21" t="inlineStr">
        <is>
          <t>U+1F747</t>
        </is>
      </c>
    </row>
    <row r="130" ht="24" customHeight="1">
      <c r="A130" s="16" t="inlineStr">
        <is>
          <t>LGT-2a</t>
        </is>
      </c>
      <c r="B130" s="16" t="inlineStr">
        <is>
          <t>Light</t>
        </is>
      </c>
      <c r="C130" s="16" t="n">
        <v>2</v>
      </c>
      <c r="D130" s="16" t="inlineStr">
        <is>
          <t>Lance</t>
        </is>
      </c>
      <c r="E130" s="22" t="inlineStr">
        <is>
          <t>🝈</t>
        </is>
      </c>
      <c r="F130" s="16" t="inlineStr">
        <is>
          <t>LGT-2b</t>
        </is>
      </c>
      <c r="G130" s="18">
        <f>IFERROR(INDEX($D:$D,MATCH($F130,$A:$A,0)),"")</f>
        <v/>
      </c>
      <c r="H130" s="23">
        <f>IFERROR(INDEX($E:$E,MATCH($F130,$A:$A,0)),"")</f>
        <v/>
      </c>
      <c r="I130" s="20">
        <f>Light!$E$8</f>
        <v/>
      </c>
      <c r="J130" s="21" t="inlineStr">
        <is>
          <t>U+1F748</t>
        </is>
      </c>
    </row>
    <row r="131" ht="24" customHeight="1">
      <c r="A131" s="16" t="inlineStr">
        <is>
          <t>LGT-2b</t>
        </is>
      </c>
      <c r="B131" s="16" t="inlineStr">
        <is>
          <t>Light</t>
        </is>
      </c>
      <c r="C131" s="16" t="n">
        <v>2</v>
      </c>
      <c r="D131" s="16" t="inlineStr">
        <is>
          <t>Glow</t>
        </is>
      </c>
      <c r="E131" s="22" t="inlineStr">
        <is>
          <t>🝉</t>
        </is>
      </c>
      <c r="F131" s="16" t="inlineStr">
        <is>
          <t>LGT-2a</t>
        </is>
      </c>
      <c r="G131" s="18">
        <f>IFERROR(INDEX($D:$D,MATCH($F131,$A:$A,0)),"")</f>
        <v/>
      </c>
      <c r="H131" s="23">
        <f>IFERROR(INDEX($E:$E,MATCH($F131,$A:$A,0)),"")</f>
        <v/>
      </c>
      <c r="I131" s="20">
        <f>Light!$E$9</f>
        <v/>
      </c>
      <c r="J131" s="21" t="inlineStr">
        <is>
          <t>U+1F749</t>
        </is>
      </c>
    </row>
    <row r="132" ht="24" customHeight="1">
      <c r="A132" s="16" t="inlineStr">
        <is>
          <t>LGT-3a</t>
        </is>
      </c>
      <c r="B132" s="16" t="inlineStr">
        <is>
          <t>Light</t>
        </is>
      </c>
      <c r="C132" s="16" t="n">
        <v>3</v>
      </c>
      <c r="D132" s="16" t="inlineStr">
        <is>
          <t>Expose</t>
        </is>
      </c>
      <c r="E132" s="22" t="inlineStr">
        <is>
          <t>🝊</t>
        </is>
      </c>
      <c r="F132" s="16" t="inlineStr">
        <is>
          <t>LGT-3b</t>
        </is>
      </c>
      <c r="G132" s="18">
        <f>IFERROR(INDEX($D:$D,MATCH($F132,$A:$A,0)),"")</f>
        <v/>
      </c>
      <c r="H132" s="23">
        <f>IFERROR(INDEX($E:$E,MATCH($F132,$A:$A,0)),"")</f>
        <v/>
      </c>
      <c r="I132" s="20">
        <f>Light!$E$10</f>
        <v/>
      </c>
      <c r="J132" s="21" t="inlineStr">
        <is>
          <t>U+1F74A</t>
        </is>
      </c>
    </row>
    <row r="133" ht="24" customHeight="1">
      <c r="A133" s="16" t="inlineStr">
        <is>
          <t>LGT-3b</t>
        </is>
      </c>
      <c r="B133" s="16" t="inlineStr">
        <is>
          <t>Light</t>
        </is>
      </c>
      <c r="C133" s="16" t="n">
        <v>3</v>
      </c>
      <c r="D133" s="16" t="inlineStr">
        <is>
          <t>Mirage</t>
        </is>
      </c>
      <c r="E133" s="22" t="inlineStr">
        <is>
          <t>🝋</t>
        </is>
      </c>
      <c r="F133" s="16" t="inlineStr">
        <is>
          <t>LGT-3a</t>
        </is>
      </c>
      <c r="G133" s="18">
        <f>IFERROR(INDEX($D:$D,MATCH($F133,$A:$A,0)),"")</f>
        <v/>
      </c>
      <c r="H133" s="23">
        <f>IFERROR(INDEX($E:$E,MATCH($F133,$A:$A,0)),"")</f>
        <v/>
      </c>
      <c r="I133" s="20">
        <f>Light!$E$11</f>
        <v/>
      </c>
      <c r="J133" s="21" t="inlineStr">
        <is>
          <t>U+1F74B</t>
        </is>
      </c>
    </row>
    <row r="134" ht="24" customHeight="1">
      <c r="A134" s="16" t="inlineStr">
        <is>
          <t>LGT-4a</t>
        </is>
      </c>
      <c r="B134" s="16" t="inlineStr">
        <is>
          <t>Light</t>
        </is>
      </c>
      <c r="C134" s="16" t="n">
        <v>4</v>
      </c>
      <c r="D134" s="16" t="inlineStr">
        <is>
          <t>Dazzle</t>
        </is>
      </c>
      <c r="E134" s="22" t="inlineStr">
        <is>
          <t>🝌</t>
        </is>
      </c>
      <c r="F134" s="16" t="inlineStr">
        <is>
          <t>LGT-4b</t>
        </is>
      </c>
      <c r="G134" s="18">
        <f>IFERROR(INDEX($D:$D,MATCH($F134,$A:$A,0)),"")</f>
        <v/>
      </c>
      <c r="H134" s="23">
        <f>IFERROR(INDEX($E:$E,MATCH($F134,$A:$A,0)),"")</f>
        <v/>
      </c>
      <c r="I134" s="20">
        <f>Light!$E$12</f>
        <v/>
      </c>
      <c r="J134" s="21" t="inlineStr">
        <is>
          <t>U+1F74C</t>
        </is>
      </c>
    </row>
    <row r="135" ht="24" customHeight="1">
      <c r="A135" s="16" t="inlineStr">
        <is>
          <t>LGT-4b</t>
        </is>
      </c>
      <c r="B135" s="16" t="inlineStr">
        <is>
          <t>Light</t>
        </is>
      </c>
      <c r="C135" s="16" t="n">
        <v>4</v>
      </c>
      <c r="D135" s="16" t="inlineStr">
        <is>
          <t>Clarity</t>
        </is>
      </c>
      <c r="E135" s="22" t="inlineStr">
        <is>
          <t>🝍</t>
        </is>
      </c>
      <c r="F135" s="16" t="inlineStr">
        <is>
          <t>LGT-4a</t>
        </is>
      </c>
      <c r="G135" s="18">
        <f>IFERROR(INDEX($D:$D,MATCH($F135,$A:$A,0)),"")</f>
        <v/>
      </c>
      <c r="H135" s="23">
        <f>IFERROR(INDEX($E:$E,MATCH($F135,$A:$A,0)),"")</f>
        <v/>
      </c>
      <c r="I135" s="20">
        <f>Light!$E$13</f>
        <v/>
      </c>
      <c r="J135" s="21" t="inlineStr">
        <is>
          <t>U+1F74D</t>
        </is>
      </c>
    </row>
    <row r="136" ht="24" customHeight="1">
      <c r="A136" s="16" t="inlineStr">
        <is>
          <t>LGT-5a</t>
        </is>
      </c>
      <c r="B136" s="16" t="inlineStr">
        <is>
          <t>Light</t>
        </is>
      </c>
      <c r="C136" s="16" t="n">
        <v>5</v>
      </c>
      <c r="D136" s="16" t="inlineStr">
        <is>
          <t>Halo</t>
        </is>
      </c>
      <c r="E136" s="22" t="inlineStr">
        <is>
          <t>🝎</t>
        </is>
      </c>
      <c r="F136" s="16" t="inlineStr">
        <is>
          <t>LGT-5b</t>
        </is>
      </c>
      <c r="G136" s="18">
        <f>IFERROR(INDEX($D:$D,MATCH($F136,$A:$A,0)),"")</f>
        <v/>
      </c>
      <c r="H136" s="23">
        <f>IFERROR(INDEX($E:$E,MATCH($F136,$A:$A,0)),"")</f>
        <v/>
      </c>
      <c r="I136" s="20">
        <f>Light!$E$14</f>
        <v/>
      </c>
      <c r="J136" s="21" t="inlineStr">
        <is>
          <t>U+1F74E</t>
        </is>
      </c>
    </row>
    <row r="137" ht="24" customHeight="1">
      <c r="A137" s="16" t="inlineStr">
        <is>
          <t>LGT-5b</t>
        </is>
      </c>
      <c r="B137" s="16" t="inlineStr">
        <is>
          <t>Light</t>
        </is>
      </c>
      <c r="C137" s="16" t="n">
        <v>5</v>
      </c>
      <c r="D137" s="16" t="inlineStr">
        <is>
          <t>Eclipse</t>
        </is>
      </c>
      <c r="E137" s="22" t="inlineStr">
        <is>
          <t>🝏</t>
        </is>
      </c>
      <c r="F137" s="16" t="inlineStr">
        <is>
          <t>LGT-5a</t>
        </is>
      </c>
      <c r="G137" s="18">
        <f>IFERROR(INDEX($D:$D,MATCH($F137,$A:$A,0)),"")</f>
        <v/>
      </c>
      <c r="H137" s="23">
        <f>IFERROR(INDEX($E:$E,MATCH($F137,$A:$A,0)),"")</f>
        <v/>
      </c>
      <c r="I137" s="20">
        <f>Light!$E$15</f>
        <v/>
      </c>
      <c r="J137" s="21" t="inlineStr">
        <is>
          <t>U+1F74F</t>
        </is>
      </c>
    </row>
    <row r="138" ht="24" customHeight="1">
      <c r="A138" s="16" t="inlineStr">
        <is>
          <t>DRM-1a</t>
        </is>
      </c>
      <c r="B138" s="16" t="inlineStr">
        <is>
          <t>Dream</t>
        </is>
      </c>
      <c r="C138" s="16" t="n">
        <v>1</v>
      </c>
      <c r="D138" s="16" t="inlineStr">
        <is>
          <t>Sleep</t>
        </is>
      </c>
      <c r="E138" s="22" t="inlineStr">
        <is>
          <t>🝐</t>
        </is>
      </c>
      <c r="F138" s="16" t="inlineStr">
        <is>
          <t>DRM-1b</t>
        </is>
      </c>
      <c r="G138" s="18">
        <f>IFERROR(INDEX($D:$D,MATCH($F138,$A:$A,0)),"")</f>
        <v/>
      </c>
      <c r="H138" s="23">
        <f>IFERROR(INDEX($E:$E,MATCH($F138,$A:$A,0)),"")</f>
        <v/>
      </c>
      <c r="I138" s="20">
        <f>Dream!$E$6</f>
        <v/>
      </c>
      <c r="J138" s="21" t="inlineStr">
        <is>
          <t>U+1F750</t>
        </is>
      </c>
    </row>
    <row r="139" ht="24" customHeight="1">
      <c r="A139" s="16" t="inlineStr">
        <is>
          <t>DRM-1b</t>
        </is>
      </c>
      <c r="B139" s="16" t="inlineStr">
        <is>
          <t>Dream</t>
        </is>
      </c>
      <c r="C139" s="16" t="n">
        <v>1</v>
      </c>
      <c r="D139" s="16" t="inlineStr">
        <is>
          <t>Wake</t>
        </is>
      </c>
      <c r="E139" s="22" t="inlineStr">
        <is>
          <t>🝑</t>
        </is>
      </c>
      <c r="F139" s="16" t="inlineStr">
        <is>
          <t>DRM-1a</t>
        </is>
      </c>
      <c r="G139" s="18">
        <f>IFERROR(INDEX($D:$D,MATCH($F139,$A:$A,0)),"")</f>
        <v/>
      </c>
      <c r="H139" s="23">
        <f>IFERROR(INDEX($E:$E,MATCH($F139,$A:$A,0)),"")</f>
        <v/>
      </c>
      <c r="I139" s="20">
        <f>Dream!$E$7</f>
        <v/>
      </c>
      <c r="J139" s="21" t="inlineStr">
        <is>
          <t>U+1F751</t>
        </is>
      </c>
    </row>
    <row r="140" ht="24" customHeight="1">
      <c r="A140" s="16" t="inlineStr">
        <is>
          <t>DRM-2a</t>
        </is>
      </c>
      <c r="B140" s="16" t="inlineStr">
        <is>
          <t>Dream</t>
        </is>
      </c>
      <c r="C140" s="16" t="n">
        <v>2</v>
      </c>
      <c r="D140" s="16" t="inlineStr">
        <is>
          <t>Phantasm</t>
        </is>
      </c>
      <c r="E140" s="22" t="inlineStr">
        <is>
          <t>🝒</t>
        </is>
      </c>
      <c r="F140" s="16" t="inlineStr">
        <is>
          <t>DRM-2b</t>
        </is>
      </c>
      <c r="G140" s="18">
        <f>IFERROR(INDEX($D:$D,MATCH($F140,$A:$A,0)),"")</f>
        <v/>
      </c>
      <c r="H140" s="23">
        <f>IFERROR(INDEX($E:$E,MATCH($F140,$A:$A,0)),"")</f>
        <v/>
      </c>
      <c r="I140" s="20">
        <f>Dream!$E$8</f>
        <v/>
      </c>
      <c r="J140" s="21" t="inlineStr">
        <is>
          <t>U+1F752</t>
        </is>
      </c>
    </row>
    <row r="141" ht="24" customHeight="1">
      <c r="A141" s="16" t="inlineStr">
        <is>
          <t>DRM-2b</t>
        </is>
      </c>
      <c r="B141" s="16" t="inlineStr">
        <is>
          <t>Dream</t>
        </is>
      </c>
      <c r="C141" s="16" t="n">
        <v>2</v>
      </c>
      <c r="D141" s="16" t="inlineStr">
        <is>
          <t>Dispel</t>
        </is>
      </c>
      <c r="E141" s="22" t="inlineStr">
        <is>
          <t>🝓</t>
        </is>
      </c>
      <c r="F141" s="16" t="inlineStr">
        <is>
          <t>DRM-2a</t>
        </is>
      </c>
      <c r="G141" s="18">
        <f>IFERROR(INDEX($D:$D,MATCH($F141,$A:$A,0)),"")</f>
        <v/>
      </c>
      <c r="H141" s="23">
        <f>IFERROR(INDEX($E:$E,MATCH($F141,$A:$A,0)),"")</f>
        <v/>
      </c>
      <c r="I141" s="20">
        <f>Dream!$E$9</f>
        <v/>
      </c>
      <c r="J141" s="21" t="inlineStr">
        <is>
          <t>U+1F753</t>
        </is>
      </c>
    </row>
    <row r="142" ht="24" customHeight="1">
      <c r="A142" s="16" t="inlineStr">
        <is>
          <t>DRM-3a</t>
        </is>
      </c>
      <c r="B142" s="16" t="inlineStr">
        <is>
          <t>Dream</t>
        </is>
      </c>
      <c r="C142" s="16" t="n">
        <v>3</v>
      </c>
      <c r="D142" s="16" t="inlineStr">
        <is>
          <t>Nightmare</t>
        </is>
      </c>
      <c r="E142" s="22" t="inlineStr">
        <is>
          <t>🝔</t>
        </is>
      </c>
      <c r="F142" s="16" t="inlineStr">
        <is>
          <t>DRM-3b</t>
        </is>
      </c>
      <c r="G142" s="18">
        <f>IFERROR(INDEX($D:$D,MATCH($F142,$A:$A,0)),"")</f>
        <v/>
      </c>
      <c r="H142" s="23">
        <f>IFERROR(INDEX($E:$E,MATCH($F142,$A:$A,0)),"")</f>
        <v/>
      </c>
      <c r="I142" s="20">
        <f>Dream!$E$10</f>
        <v/>
      </c>
      <c r="J142" s="21" t="inlineStr">
        <is>
          <t>U+1F754</t>
        </is>
      </c>
    </row>
    <row r="143" ht="24" customHeight="1">
      <c r="A143" s="16" t="inlineStr">
        <is>
          <t>DRM-3b</t>
        </is>
      </c>
      <c r="B143" s="16" t="inlineStr">
        <is>
          <t>Dream</t>
        </is>
      </c>
      <c r="C143" s="16" t="n">
        <v>3</v>
      </c>
      <c r="D143" s="16" t="inlineStr">
        <is>
          <t>Reverie</t>
        </is>
      </c>
      <c r="E143" s="22" t="inlineStr">
        <is>
          <t>🝕</t>
        </is>
      </c>
      <c r="F143" s="16" t="inlineStr">
        <is>
          <t>DRM-3a</t>
        </is>
      </c>
      <c r="G143" s="18">
        <f>IFERROR(INDEX($D:$D,MATCH($F143,$A:$A,0)),"")</f>
        <v/>
      </c>
      <c r="H143" s="23">
        <f>IFERROR(INDEX($E:$E,MATCH($F143,$A:$A,0)),"")</f>
        <v/>
      </c>
      <c r="I143" s="20">
        <f>Dream!$E$11</f>
        <v/>
      </c>
      <c r="J143" s="21" t="inlineStr">
        <is>
          <t>U+1F755</t>
        </is>
      </c>
    </row>
    <row r="144" ht="24" customHeight="1">
      <c r="A144" s="16" t="inlineStr">
        <is>
          <t>DRM-4a</t>
        </is>
      </c>
      <c r="B144" s="16" t="inlineStr">
        <is>
          <t>Dream</t>
        </is>
      </c>
      <c r="C144" s="16" t="n">
        <v>4</v>
      </c>
      <c r="D144" s="16" t="inlineStr">
        <is>
          <t>Muddle</t>
        </is>
      </c>
      <c r="E144" s="22" t="inlineStr">
        <is>
          <t>🝖</t>
        </is>
      </c>
      <c r="F144" s="16" t="inlineStr">
        <is>
          <t>DRM-4b</t>
        </is>
      </c>
      <c r="G144" s="18">
        <f>IFERROR(INDEX($D:$D,MATCH($F144,$A:$A,0)),"")</f>
        <v/>
      </c>
      <c r="H144" s="23">
        <f>IFERROR(INDEX($E:$E,MATCH($F144,$A:$A,0)),"")</f>
        <v/>
      </c>
      <c r="I144" s="20">
        <f>Dream!$E$12</f>
        <v/>
      </c>
      <c r="J144" s="21" t="inlineStr">
        <is>
          <t>U+1F756</t>
        </is>
      </c>
    </row>
    <row r="145" ht="24" customHeight="1">
      <c r="A145" s="16" t="inlineStr">
        <is>
          <t>DRM-4b</t>
        </is>
      </c>
      <c r="B145" s="16" t="inlineStr">
        <is>
          <t>Dream</t>
        </is>
      </c>
      <c r="C145" s="16" t="n">
        <v>4</v>
      </c>
      <c r="D145" s="16" t="inlineStr">
        <is>
          <t>Clarify</t>
        </is>
      </c>
      <c r="E145" s="22" t="inlineStr">
        <is>
          <t>🝗</t>
        </is>
      </c>
      <c r="F145" s="16" t="inlineStr">
        <is>
          <t>DRM-4a</t>
        </is>
      </c>
      <c r="G145" s="18">
        <f>IFERROR(INDEX($D:$D,MATCH($F145,$A:$A,0)),"")</f>
        <v/>
      </c>
      <c r="H145" s="23">
        <f>IFERROR(INDEX($E:$E,MATCH($F145,$A:$A,0)),"")</f>
        <v/>
      </c>
      <c r="I145" s="20">
        <f>Dream!$E$13</f>
        <v/>
      </c>
      <c r="J145" s="21" t="inlineStr">
        <is>
          <t>U+1F757</t>
        </is>
      </c>
    </row>
    <row r="146" ht="24" customHeight="1">
      <c r="A146" s="16" t="inlineStr">
        <is>
          <t>DRM-5a</t>
        </is>
      </c>
      <c r="B146" s="16" t="inlineStr">
        <is>
          <t>Dream</t>
        </is>
      </c>
      <c r="C146" s="16" t="n">
        <v>5</v>
      </c>
      <c r="D146" s="16" t="inlineStr">
        <is>
          <t>Whisper</t>
        </is>
      </c>
      <c r="E146" s="22" t="inlineStr">
        <is>
          <t>🝘</t>
        </is>
      </c>
      <c r="F146" s="16" t="inlineStr">
        <is>
          <t>DRM-5b</t>
        </is>
      </c>
      <c r="G146" s="18">
        <f>IFERROR(INDEX($D:$D,MATCH($F146,$A:$A,0)),"")</f>
        <v/>
      </c>
      <c r="H146" s="23">
        <f>IFERROR(INDEX($E:$E,MATCH($F146,$A:$A,0)),"")</f>
        <v/>
      </c>
      <c r="I146" s="20">
        <f>Dream!$E$14</f>
        <v/>
      </c>
      <c r="J146" s="21" t="inlineStr">
        <is>
          <t>U+1F758</t>
        </is>
      </c>
    </row>
    <row r="147" ht="24" customHeight="1">
      <c r="A147" s="16" t="inlineStr">
        <is>
          <t>DRM-5b</t>
        </is>
      </c>
      <c r="B147" s="16" t="inlineStr">
        <is>
          <t>Dream</t>
        </is>
      </c>
      <c r="C147" s="16" t="n">
        <v>5</v>
      </c>
      <c r="D147" s="16" t="inlineStr">
        <is>
          <t>Shut</t>
        </is>
      </c>
      <c r="E147" s="22" t="inlineStr">
        <is>
          <t>🝙</t>
        </is>
      </c>
      <c r="F147" s="16" t="inlineStr">
        <is>
          <t>DRM-5a</t>
        </is>
      </c>
      <c r="G147" s="18">
        <f>IFERROR(INDEX($D:$D,MATCH($F147,$A:$A,0)),"")</f>
        <v/>
      </c>
      <c r="H147" s="23">
        <f>IFERROR(INDEX($E:$E,MATCH($F147,$A:$A,0)),"")</f>
        <v/>
      </c>
      <c r="I147" s="20">
        <f>Dream!$E$15</f>
        <v/>
      </c>
      <c r="J147" s="21" t="inlineStr">
        <is>
          <t>U+1F759</t>
        </is>
      </c>
    </row>
    <row r="148" ht="24" customHeight="1">
      <c r="A148" s="16" t="inlineStr">
        <is>
          <t>POI-1a</t>
        </is>
      </c>
      <c r="B148" s="16" t="inlineStr">
        <is>
          <t>Poison</t>
        </is>
      </c>
      <c r="C148" s="16" t="n">
        <v>1</v>
      </c>
      <c r="D148" s="16" t="inlineStr">
        <is>
          <t>Envenom</t>
        </is>
      </c>
      <c r="E148" s="22" t="inlineStr">
        <is>
          <t>🝚</t>
        </is>
      </c>
      <c r="F148" s="16" t="inlineStr">
        <is>
          <t>POI-1b</t>
        </is>
      </c>
      <c r="G148" s="18">
        <f>IFERROR(INDEX($D:$D,MATCH($F148,$A:$A,0)),"")</f>
        <v/>
      </c>
      <c r="H148" s="23">
        <f>IFERROR(INDEX($E:$E,MATCH($F148,$A:$A,0)),"")</f>
        <v/>
      </c>
      <c r="I148" s="20">
        <f>Poison!$E$6</f>
        <v/>
      </c>
      <c r="J148" s="21" t="inlineStr">
        <is>
          <t>U+1F75A</t>
        </is>
      </c>
    </row>
    <row r="149" ht="24" customHeight="1">
      <c r="A149" s="16" t="inlineStr">
        <is>
          <t>POI-1b</t>
        </is>
      </c>
      <c r="B149" s="16" t="inlineStr">
        <is>
          <t>Poison</t>
        </is>
      </c>
      <c r="C149" s="16" t="n">
        <v>1</v>
      </c>
      <c r="D149" s="16" t="inlineStr">
        <is>
          <t>Purge</t>
        </is>
      </c>
      <c r="E149" s="22" t="inlineStr">
        <is>
          <t>🝛</t>
        </is>
      </c>
      <c r="F149" s="16" t="inlineStr">
        <is>
          <t>POI-1a</t>
        </is>
      </c>
      <c r="G149" s="18">
        <f>IFERROR(INDEX($D:$D,MATCH($F149,$A:$A,0)),"")</f>
        <v/>
      </c>
      <c r="H149" s="23">
        <f>IFERROR(INDEX($E:$E,MATCH($F149,$A:$A,0)),"")</f>
        <v/>
      </c>
      <c r="I149" s="20">
        <f>Poison!$E$7</f>
        <v/>
      </c>
      <c r="J149" s="21" t="inlineStr">
        <is>
          <t>U+1F75B</t>
        </is>
      </c>
    </row>
    <row r="150" ht="24" customHeight="1">
      <c r="A150" s="16" t="inlineStr">
        <is>
          <t>POI-2a</t>
        </is>
      </c>
      <c r="B150" s="16" t="inlineStr">
        <is>
          <t>Poison</t>
        </is>
      </c>
      <c r="C150" s="16" t="n">
        <v>2</v>
      </c>
      <c r="D150" s="16" t="inlineStr">
        <is>
          <t>Sap</t>
        </is>
      </c>
      <c r="E150" s="22" t="inlineStr">
        <is>
          <t>🝜</t>
        </is>
      </c>
      <c r="F150" s="16" t="inlineStr">
        <is>
          <t>POI-2b</t>
        </is>
      </c>
      <c r="G150" s="18">
        <f>IFERROR(INDEX($D:$D,MATCH($F150,$A:$A,0)),"")</f>
        <v/>
      </c>
      <c r="H150" s="23">
        <f>IFERROR(INDEX($E:$E,MATCH($F150,$A:$A,0)),"")</f>
        <v/>
      </c>
      <c r="I150" s="20">
        <f>Poison!$E$8</f>
        <v/>
      </c>
      <c r="J150" s="21" t="inlineStr">
        <is>
          <t>U+1F75C</t>
        </is>
      </c>
    </row>
    <row r="151" ht="24" customHeight="1">
      <c r="A151" s="16" t="inlineStr">
        <is>
          <t>POI-2b</t>
        </is>
      </c>
      <c r="B151" s="16" t="inlineStr">
        <is>
          <t>Poison</t>
        </is>
      </c>
      <c r="C151" s="16" t="n">
        <v>2</v>
      </c>
      <c r="D151" s="16" t="inlineStr">
        <is>
          <t>Stimulate</t>
        </is>
      </c>
      <c r="E151" s="22" t="inlineStr">
        <is>
          <t>🝝</t>
        </is>
      </c>
      <c r="F151" s="16" t="inlineStr">
        <is>
          <t>POI-2a</t>
        </is>
      </c>
      <c r="G151" s="18">
        <f>IFERROR(INDEX($D:$D,MATCH($F151,$A:$A,0)),"")</f>
        <v/>
      </c>
      <c r="H151" s="23">
        <f>IFERROR(INDEX($E:$E,MATCH($F151,$A:$A,0)),"")</f>
        <v/>
      </c>
      <c r="I151" s="20">
        <f>Poison!$E$9</f>
        <v/>
      </c>
      <c r="J151" s="21" t="inlineStr">
        <is>
          <t>U+1F75D</t>
        </is>
      </c>
    </row>
    <row r="152" ht="24" customHeight="1">
      <c r="A152" s="16" t="inlineStr">
        <is>
          <t>POI-3a</t>
        </is>
      </c>
      <c r="B152" s="16" t="inlineStr">
        <is>
          <t>Poison</t>
        </is>
      </c>
      <c r="C152" s="16" t="n">
        <v>3</v>
      </c>
      <c r="D152" s="16" t="inlineStr">
        <is>
          <t>Steep</t>
        </is>
      </c>
      <c r="E152" s="22" t="inlineStr">
        <is>
          <t>🝞</t>
        </is>
      </c>
      <c r="F152" s="16" t="inlineStr">
        <is>
          <t>POI-3b</t>
        </is>
      </c>
      <c r="G152" s="18">
        <f>IFERROR(INDEX($D:$D,MATCH($F152,$A:$A,0)),"")</f>
        <v/>
      </c>
      <c r="H152" s="23">
        <f>IFERROR(INDEX($E:$E,MATCH($F152,$A:$A,0)),"")</f>
        <v/>
      </c>
      <c r="I152" s="20">
        <f>Poison!$E$10</f>
        <v/>
      </c>
      <c r="J152" s="21" t="inlineStr">
        <is>
          <t>U+1F75E</t>
        </is>
      </c>
    </row>
    <row r="153" ht="24" customHeight="1">
      <c r="A153" s="16" t="inlineStr">
        <is>
          <t>POI-3b</t>
        </is>
      </c>
      <c r="B153" s="16" t="inlineStr">
        <is>
          <t>Poison</t>
        </is>
      </c>
      <c r="C153" s="16" t="n">
        <v>3</v>
      </c>
      <c r="D153" s="16" t="inlineStr">
        <is>
          <t>Spike</t>
        </is>
      </c>
      <c r="E153" s="22" t="inlineStr">
        <is>
          <t>🝟</t>
        </is>
      </c>
      <c r="F153" s="16" t="inlineStr">
        <is>
          <t>POI-3a</t>
        </is>
      </c>
      <c r="G153" s="18">
        <f>IFERROR(INDEX($D:$D,MATCH($F153,$A:$A,0)),"")</f>
        <v/>
      </c>
      <c r="H153" s="23">
        <f>IFERROR(INDEX($E:$E,MATCH($F153,$A:$A,0)),"")</f>
        <v/>
      </c>
      <c r="I153" s="20">
        <f>Poison!$E$11</f>
        <v/>
      </c>
      <c r="J153" s="21" t="inlineStr">
        <is>
          <t>U+1F75F</t>
        </is>
      </c>
    </row>
    <row r="154" ht="24" customHeight="1">
      <c r="A154" s="16" t="inlineStr">
        <is>
          <t>POI-4a</t>
        </is>
      </c>
      <c r="B154" s="16" t="inlineStr">
        <is>
          <t>Poison</t>
        </is>
      </c>
      <c r="C154" s="16" t="n">
        <v>4</v>
      </c>
      <c r="D154" s="16" t="inlineStr">
        <is>
          <t>Spread</t>
        </is>
      </c>
      <c r="E154" s="22" t="inlineStr">
        <is>
          <t>🝠</t>
        </is>
      </c>
      <c r="F154" s="16" t="inlineStr">
        <is>
          <t>POI-4b</t>
        </is>
      </c>
      <c r="G154" s="18">
        <f>IFERROR(INDEX($D:$D,MATCH($F154,$A:$A,0)),"")</f>
        <v/>
      </c>
      <c r="H154" s="23">
        <f>IFERROR(INDEX($E:$E,MATCH($F154,$A:$A,0)),"")</f>
        <v/>
      </c>
      <c r="I154" s="20">
        <f>Poison!$E$12</f>
        <v/>
      </c>
      <c r="J154" s="21" t="inlineStr">
        <is>
          <t>U+1F760</t>
        </is>
      </c>
    </row>
    <row r="155" ht="24" customHeight="1">
      <c r="A155" s="16" t="inlineStr">
        <is>
          <t>POI-4b</t>
        </is>
      </c>
      <c r="B155" s="16" t="inlineStr">
        <is>
          <t>Poison</t>
        </is>
      </c>
      <c r="C155" s="16" t="n">
        <v>4</v>
      </c>
      <c r="D155" s="16" t="inlineStr">
        <is>
          <t>Inure</t>
        </is>
      </c>
      <c r="E155" s="22" t="inlineStr">
        <is>
          <t>🝡</t>
        </is>
      </c>
      <c r="F155" s="16" t="inlineStr">
        <is>
          <t>POI-4a</t>
        </is>
      </c>
      <c r="G155" s="18">
        <f>IFERROR(INDEX($D:$D,MATCH($F155,$A:$A,0)),"")</f>
        <v/>
      </c>
      <c r="H155" s="23">
        <f>IFERROR(INDEX($E:$E,MATCH($F155,$A:$A,0)),"")</f>
        <v/>
      </c>
      <c r="I155" s="20">
        <f>Poison!$E$13</f>
        <v/>
      </c>
      <c r="J155" s="21" t="inlineStr">
        <is>
          <t>U+1F761</t>
        </is>
      </c>
    </row>
    <row r="156" ht="24" customHeight="1">
      <c r="A156" s="16" t="inlineStr">
        <is>
          <t>POI-5a</t>
        </is>
      </c>
      <c r="B156" s="16" t="inlineStr">
        <is>
          <t>Poison</t>
        </is>
      </c>
      <c r="C156" s="16" t="n">
        <v>5</v>
      </c>
      <c r="D156" s="16" t="inlineStr">
        <is>
          <t>Linger</t>
        </is>
      </c>
      <c r="E156" s="22" t="inlineStr">
        <is>
          <t>🝢</t>
        </is>
      </c>
      <c r="F156" s="16" t="inlineStr">
        <is>
          <t>POI-5b</t>
        </is>
      </c>
      <c r="G156" s="18">
        <f>IFERROR(INDEX($D:$D,MATCH($F156,$A:$A,0)),"")</f>
        <v/>
      </c>
      <c r="H156" s="23">
        <f>IFERROR(INDEX($E:$E,MATCH($F156,$A:$A,0)),"")</f>
        <v/>
      </c>
      <c r="I156" s="20">
        <f>Poison!$E$14</f>
        <v/>
      </c>
      <c r="J156" s="21" t="inlineStr">
        <is>
          <t>U+1F762</t>
        </is>
      </c>
    </row>
    <row r="157" ht="24" customHeight="1">
      <c r="A157" s="16" t="inlineStr">
        <is>
          <t>POI-5b</t>
        </is>
      </c>
      <c r="B157" s="16" t="inlineStr">
        <is>
          <t>Poison</t>
        </is>
      </c>
      <c r="C157" s="16" t="n">
        <v>5</v>
      </c>
      <c r="D157" s="16" t="inlineStr">
        <is>
          <t>Flush</t>
        </is>
      </c>
      <c r="E157" s="22" t="inlineStr">
        <is>
          <t>🝣</t>
        </is>
      </c>
      <c r="F157" s="16" t="inlineStr">
        <is>
          <t>POI-5a</t>
        </is>
      </c>
      <c r="G157" s="18">
        <f>IFERROR(INDEX($D:$D,MATCH($F157,$A:$A,0)),"")</f>
        <v/>
      </c>
      <c r="H157" s="23">
        <f>IFERROR(INDEX($E:$E,MATCH($F157,$A:$A,0)),"")</f>
        <v/>
      </c>
      <c r="I157" s="20">
        <f>Poison!$E$15</f>
        <v/>
      </c>
      <c r="J157" s="21" t="inlineStr">
        <is>
          <t>U+1F763</t>
        </is>
      </c>
    </row>
    <row r="158" ht="24" customHeight="1">
      <c r="A158" s="16" t="inlineStr">
        <is>
          <t>DIS-1a</t>
        </is>
      </c>
      <c r="B158" s="16" t="inlineStr">
        <is>
          <t>Disease</t>
        </is>
      </c>
      <c r="C158" s="16" t="n">
        <v>1</v>
      </c>
      <c r="D158" s="16" t="inlineStr">
        <is>
          <t>Billow</t>
        </is>
      </c>
      <c r="E158" s="22" t="inlineStr">
        <is>
          <t>🝤</t>
        </is>
      </c>
      <c r="F158" s="16" t="inlineStr">
        <is>
          <t>DIS-1b</t>
        </is>
      </c>
      <c r="G158" s="18">
        <f>IFERROR(INDEX($D:$D,MATCH($F158,$A:$A,0)),"")</f>
        <v/>
      </c>
      <c r="H158" s="23">
        <f>IFERROR(INDEX($E:$E,MATCH($F158,$A:$A,0)),"")</f>
        <v/>
      </c>
      <c r="I158" s="20">
        <f>Disease!$E$6</f>
        <v/>
      </c>
      <c r="J158" s="21" t="inlineStr">
        <is>
          <t>U+1F764</t>
        </is>
      </c>
    </row>
    <row r="159" ht="24" customHeight="1">
      <c r="A159" s="16" t="inlineStr">
        <is>
          <t>DIS-1b</t>
        </is>
      </c>
      <c r="B159" s="16" t="inlineStr">
        <is>
          <t>Disease</t>
        </is>
      </c>
      <c r="C159" s="16" t="n">
        <v>1</v>
      </c>
      <c r="D159" s="16" t="inlineStr">
        <is>
          <t>Clear</t>
        </is>
      </c>
      <c r="E159" s="22" t="inlineStr">
        <is>
          <t>🝥</t>
        </is>
      </c>
      <c r="F159" s="16" t="inlineStr">
        <is>
          <t>DIS-1a</t>
        </is>
      </c>
      <c r="G159" s="18">
        <f>IFERROR(INDEX($D:$D,MATCH($F159,$A:$A,0)),"")</f>
        <v/>
      </c>
      <c r="H159" s="23">
        <f>IFERROR(INDEX($E:$E,MATCH($F159,$A:$A,0)),"")</f>
        <v/>
      </c>
      <c r="I159" s="20">
        <f>Disease!$E$7</f>
        <v/>
      </c>
      <c r="J159" s="21" t="inlineStr">
        <is>
          <t>U+1F765</t>
        </is>
      </c>
    </row>
    <row r="160" ht="24" customHeight="1">
      <c r="A160" s="16" t="inlineStr">
        <is>
          <t>DIS-2a</t>
        </is>
      </c>
      <c r="B160" s="16" t="inlineStr">
        <is>
          <t>Disease</t>
        </is>
      </c>
      <c r="C160" s="16" t="n">
        <v>2</v>
      </c>
      <c r="D160" s="16" t="inlineStr">
        <is>
          <t>Fester</t>
        </is>
      </c>
      <c r="E160" s="22" t="inlineStr">
        <is>
          <t>🝦</t>
        </is>
      </c>
      <c r="F160" s="16" t="inlineStr">
        <is>
          <t>DIS-2b</t>
        </is>
      </c>
      <c r="G160" s="18">
        <f>IFERROR(INDEX($D:$D,MATCH($F160,$A:$A,0)),"")</f>
        <v/>
      </c>
      <c r="H160" s="23">
        <f>IFERROR(INDEX($E:$E,MATCH($F160,$A:$A,0)),"")</f>
        <v/>
      </c>
      <c r="I160" s="20">
        <f>Disease!$E$8</f>
        <v/>
      </c>
      <c r="J160" s="21" t="inlineStr">
        <is>
          <t>U+1F766</t>
        </is>
      </c>
    </row>
    <row r="161" ht="24" customHeight="1">
      <c r="A161" s="16" t="inlineStr">
        <is>
          <t>DIS-2b</t>
        </is>
      </c>
      <c r="B161" s="16" t="inlineStr">
        <is>
          <t>Disease</t>
        </is>
      </c>
      <c r="C161" s="16" t="n">
        <v>2</v>
      </c>
      <c r="D161" s="16" t="inlineStr">
        <is>
          <t>Seal</t>
        </is>
      </c>
      <c r="E161" s="22" t="inlineStr">
        <is>
          <t>🝧</t>
        </is>
      </c>
      <c r="F161" s="16" t="inlineStr">
        <is>
          <t>DIS-2a</t>
        </is>
      </c>
      <c r="G161" s="18">
        <f>IFERROR(INDEX($D:$D,MATCH($F161,$A:$A,0)),"")</f>
        <v/>
      </c>
      <c r="H161" s="23">
        <f>IFERROR(INDEX($E:$E,MATCH($F161,$A:$A,0)),"")</f>
        <v/>
      </c>
      <c r="I161" s="20">
        <f>Disease!$E$9</f>
        <v/>
      </c>
      <c r="J161" s="21" t="inlineStr">
        <is>
          <t>U+1F767</t>
        </is>
      </c>
    </row>
    <row r="162" ht="24" customHeight="1">
      <c r="A162" s="16" t="inlineStr">
        <is>
          <t>DIS-3a</t>
        </is>
      </c>
      <c r="B162" s="16" t="inlineStr">
        <is>
          <t>Disease</t>
        </is>
      </c>
      <c r="C162" s="16" t="n">
        <v>3</v>
      </c>
      <c r="D162" s="16" t="inlineStr">
        <is>
          <t>Choke</t>
        </is>
      </c>
      <c r="E162" s="22" t="inlineStr">
        <is>
          <t>🝨</t>
        </is>
      </c>
      <c r="F162" s="16" t="inlineStr">
        <is>
          <t>DIS-3b</t>
        </is>
      </c>
      <c r="G162" s="18">
        <f>IFERROR(INDEX($D:$D,MATCH($F162,$A:$A,0)),"")</f>
        <v/>
      </c>
      <c r="H162" s="23">
        <f>IFERROR(INDEX($E:$E,MATCH($F162,$A:$A,0)),"")</f>
        <v/>
      </c>
      <c r="I162" s="20">
        <f>Disease!$E$10</f>
        <v/>
      </c>
      <c r="J162" s="21" t="inlineStr">
        <is>
          <t>U+1F768</t>
        </is>
      </c>
    </row>
    <row r="163" ht="24" customHeight="1">
      <c r="A163" s="16" t="inlineStr">
        <is>
          <t>DIS-3b</t>
        </is>
      </c>
      <c r="B163" s="16" t="inlineStr">
        <is>
          <t>Disease</t>
        </is>
      </c>
      <c r="C163" s="16" t="n">
        <v>3</v>
      </c>
      <c r="D163" s="16" t="inlineStr">
        <is>
          <t>Breathe</t>
        </is>
      </c>
      <c r="E163" s="22" t="inlineStr">
        <is>
          <t>🝩</t>
        </is>
      </c>
      <c r="F163" s="16" t="inlineStr">
        <is>
          <t>DIS-3a</t>
        </is>
      </c>
      <c r="G163" s="18">
        <f>IFERROR(INDEX($D:$D,MATCH($F163,$A:$A,0)),"")</f>
        <v/>
      </c>
      <c r="H163" s="23">
        <f>IFERROR(INDEX($E:$E,MATCH($F163,$A:$A,0)),"")</f>
        <v/>
      </c>
      <c r="I163" s="20">
        <f>Disease!$E$11</f>
        <v/>
      </c>
      <c r="J163" s="21" t="inlineStr">
        <is>
          <t>U+1F769</t>
        </is>
      </c>
    </row>
    <row r="164" ht="24" customHeight="1">
      <c r="A164" s="16" t="inlineStr">
        <is>
          <t>DIS-4a</t>
        </is>
      </c>
      <c r="B164" s="16" t="inlineStr">
        <is>
          <t>Disease</t>
        </is>
      </c>
      <c r="C164" s="16" t="n">
        <v>4</v>
      </c>
      <c r="D164" s="16" t="inlineStr">
        <is>
          <t>Cling</t>
        </is>
      </c>
      <c r="E164" s="22" t="inlineStr">
        <is>
          <t>🝪</t>
        </is>
      </c>
      <c r="F164" s="16" t="inlineStr">
        <is>
          <t>DIS-4b</t>
        </is>
      </c>
      <c r="G164" s="18">
        <f>IFERROR(INDEX($D:$D,MATCH($F164,$A:$A,0)),"")</f>
        <v/>
      </c>
      <c r="H164" s="23">
        <f>IFERROR(INDEX($E:$E,MATCH($F164,$A:$A,0)),"")</f>
        <v/>
      </c>
      <c r="I164" s="20">
        <f>Disease!$E$12</f>
        <v/>
      </c>
      <c r="J164" s="21" t="inlineStr">
        <is>
          <t>U+1F76A</t>
        </is>
      </c>
    </row>
    <row r="165" ht="24" customHeight="1">
      <c r="A165" s="16" t="inlineStr">
        <is>
          <t>DIS-4b</t>
        </is>
      </c>
      <c r="B165" s="16" t="inlineStr">
        <is>
          <t>Disease</t>
        </is>
      </c>
      <c r="C165" s="16" t="n">
        <v>4</v>
      </c>
      <c r="D165" s="16" t="inlineStr">
        <is>
          <t>Lift</t>
        </is>
      </c>
      <c r="E165" s="22" t="inlineStr">
        <is>
          <t>🝫</t>
        </is>
      </c>
      <c r="F165" s="16" t="inlineStr">
        <is>
          <t>DIS-4a</t>
        </is>
      </c>
      <c r="G165" s="18">
        <f>IFERROR(INDEX($D:$D,MATCH($F165,$A:$A,0)),"")</f>
        <v/>
      </c>
      <c r="H165" s="23">
        <f>IFERROR(INDEX($E:$E,MATCH($F165,$A:$A,0)),"")</f>
        <v/>
      </c>
      <c r="I165" s="20">
        <f>Disease!$E$13</f>
        <v/>
      </c>
      <c r="J165" s="21" t="inlineStr">
        <is>
          <t>U+1F76B</t>
        </is>
      </c>
    </row>
    <row r="166" ht="24" customHeight="1">
      <c r="A166" s="16" t="inlineStr">
        <is>
          <t>DIS-5a</t>
        </is>
      </c>
      <c r="B166" s="16" t="inlineStr">
        <is>
          <t>Disease</t>
        </is>
      </c>
      <c r="C166" s="16" t="n">
        <v>5</v>
      </c>
      <c r="D166" s="16" t="inlineStr">
        <is>
          <t>Plague</t>
        </is>
      </c>
      <c r="E166" s="22" t="inlineStr">
        <is>
          <t>🝬</t>
        </is>
      </c>
      <c r="F166" s="16" t="inlineStr">
        <is>
          <t>DIS-5b</t>
        </is>
      </c>
      <c r="G166" s="18">
        <f>IFERROR(INDEX($D:$D,MATCH($F166,$A:$A,0)),"")</f>
        <v/>
      </c>
      <c r="H166" s="23">
        <f>IFERROR(INDEX($E:$E,MATCH($F166,$A:$A,0)),"")</f>
        <v/>
      </c>
      <c r="I166" s="20">
        <f>Disease!$E$14</f>
        <v/>
      </c>
      <c r="J166" s="21" t="inlineStr">
        <is>
          <t>U+1F76C</t>
        </is>
      </c>
    </row>
    <row r="167" ht="24" customHeight="1">
      <c r="A167" s="16" t="inlineStr">
        <is>
          <t>DIS-5b</t>
        </is>
      </c>
      <c r="B167" s="16" t="inlineStr">
        <is>
          <t>Disease</t>
        </is>
      </c>
      <c r="C167" s="16" t="n">
        <v>5</v>
      </c>
      <c r="D167" s="16" t="inlineStr">
        <is>
          <t>Quarantine</t>
        </is>
      </c>
      <c r="E167" s="22" t="inlineStr">
        <is>
          <t>🝭</t>
        </is>
      </c>
      <c r="F167" s="16" t="inlineStr">
        <is>
          <t>DIS-5a</t>
        </is>
      </c>
      <c r="G167" s="18">
        <f>IFERROR(INDEX($D:$D,MATCH($F167,$A:$A,0)),"")</f>
        <v/>
      </c>
      <c r="H167" s="23">
        <f>IFERROR(INDEX($E:$E,MATCH($F167,$A:$A,0)),"")</f>
        <v/>
      </c>
      <c r="I167" s="20">
        <f>Disease!$E$15</f>
        <v/>
      </c>
      <c r="J167" s="21" t="inlineStr">
        <is>
          <t>U+1F76D</t>
        </is>
      </c>
    </row>
  </sheetData>
  <autoFilter ref="A1:J167"/>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11" customWidth="1" min="3" max="3"/>
    <col width="11" customWidth="1" min="4" max="4"/>
    <col width="14" customWidth="1" min="5" max="5"/>
    <col width="11" customWidth="1" min="6" max="6"/>
    <col width="60" customWidth="1" min="7" max="7"/>
  </cols>
  <sheetData>
    <row r="1" ht="30" customHeight="1">
      <c r="A1" s="8" t="inlineStr">
        <is>
          <t>ID</t>
        </is>
      </c>
      <c r="B1" s="8" t="inlineStr">
        <is>
          <t>Rune</t>
        </is>
      </c>
      <c r="C1" s="8" t="inlineStr">
        <is>
          <t>Character</t>
        </is>
      </c>
      <c r="D1" s="8" t="inlineStr">
        <is>
          <t>Opposite ID</t>
        </is>
      </c>
      <c r="E1" s="8" t="inlineStr">
        <is>
          <t>Opposite</t>
        </is>
      </c>
      <c r="F1" s="8" t="inlineStr">
        <is>
          <t>Opposite character</t>
        </is>
      </c>
      <c r="G1" s="8" t="inlineStr">
        <is>
          <t>As a means</t>
        </is>
      </c>
    </row>
    <row r="2" ht="24" customHeight="1">
      <c r="A2" s="16" t="inlineStr">
        <is>
          <t>UNI-01a</t>
        </is>
      </c>
      <c r="B2" s="16" t="inlineStr">
        <is>
          <t>Motion</t>
        </is>
      </c>
      <c r="C2" s="22" t="inlineStr">
        <is>
          <t>⇢</t>
        </is>
      </c>
      <c r="D2" s="16" t="inlineStr">
        <is>
          <t>UNI-01b</t>
        </is>
      </c>
      <c r="E2" s="18">
        <f>IFERROR(INDEX($B:$B,MATCH($D2,$A:$A,0)),"")</f>
        <v/>
      </c>
      <c r="F2" s="23">
        <f>IFERROR(INDEX($C:$C,MATCH($D2,$A:$A,0)),"")</f>
        <v/>
      </c>
      <c r="G2" s="24" t="inlineStr">
        <is>
          <t>it travels, or moves what it touches</t>
        </is>
      </c>
    </row>
    <row r="3" ht="24" customHeight="1">
      <c r="A3" s="16" t="inlineStr">
        <is>
          <t>UNI-01b</t>
        </is>
      </c>
      <c r="B3" s="16" t="inlineStr">
        <is>
          <t>Stillness</t>
        </is>
      </c>
      <c r="C3" s="22" t="inlineStr">
        <is>
          <t>⊡</t>
        </is>
      </c>
      <c r="D3" s="16" t="inlineStr">
        <is>
          <t>UNI-01a</t>
        </is>
      </c>
      <c r="E3" s="18">
        <f>IFERROR(INDEX($B:$B,MATCH($D3,$A:$A,0)),"")</f>
        <v/>
      </c>
      <c r="F3" s="23">
        <f>IFERROR(INDEX($C:$C,MATCH($D3,$A:$A,0)),"")</f>
        <v/>
      </c>
      <c r="G3" s="24" t="inlineStr">
        <is>
          <t>it is held in place; what it touches is held</t>
        </is>
      </c>
    </row>
    <row r="4" ht="24" customHeight="1">
      <c r="A4" s="16" t="inlineStr">
        <is>
          <t>UNI-02a</t>
        </is>
      </c>
      <c r="B4" s="16" t="inlineStr">
        <is>
          <t>Haste</t>
        </is>
      </c>
      <c r="C4" s="22" t="inlineStr">
        <is>
          <t>»</t>
        </is>
      </c>
      <c r="D4" s="16" t="inlineStr">
        <is>
          <t>UNI-02b</t>
        </is>
      </c>
      <c r="E4" s="18">
        <f>IFERROR(INDEX($B:$B,MATCH($D4,$A:$A,0)),"")</f>
        <v/>
      </c>
      <c r="F4" s="23">
        <f>IFERROR(INDEX($C:$C,MATCH($D4,$A:$A,0)),"")</f>
        <v/>
      </c>
      <c r="G4" s="24" t="inlineStr">
        <is>
          <t>sooner and faster</t>
        </is>
      </c>
    </row>
    <row r="5" ht="24" customHeight="1">
      <c r="A5" s="16" t="inlineStr">
        <is>
          <t>UNI-02b</t>
        </is>
      </c>
      <c r="B5" s="16" t="inlineStr">
        <is>
          <t>Delay</t>
        </is>
      </c>
      <c r="C5" s="22" t="inlineStr">
        <is>
          <t>«</t>
        </is>
      </c>
      <c r="D5" s="16" t="inlineStr">
        <is>
          <t>UNI-02a</t>
        </is>
      </c>
      <c r="E5" s="18">
        <f>IFERROR(INDEX($B:$B,MATCH($D5,$A:$A,0)),"")</f>
        <v/>
      </c>
      <c r="F5" s="23">
        <f>IFERROR(INDEX($C:$C,MATCH($D5,$A:$A,0)),"")</f>
        <v/>
      </c>
      <c r="G5" s="24" t="inlineStr">
        <is>
          <t>later: delayed, built up</t>
        </is>
      </c>
    </row>
    <row r="6" ht="24" customHeight="1">
      <c r="A6" s="16" t="inlineStr">
        <is>
          <t>UNI-03a</t>
        </is>
      </c>
      <c r="B6" s="16" t="inlineStr">
        <is>
          <t>Curve</t>
        </is>
      </c>
      <c r="C6" s="22" t="inlineStr">
        <is>
          <t>↷</t>
        </is>
      </c>
      <c r="D6" s="16" t="inlineStr">
        <is>
          <t>UNI-03b</t>
        </is>
      </c>
      <c r="E6" s="18">
        <f>IFERROR(INDEX($B:$B,MATCH($D6,$A:$A,0)),"")</f>
        <v/>
      </c>
      <c r="F6" s="23">
        <f>IFERROR(INDEX($C:$C,MATCH($D6,$A:$A,0)),"")</f>
        <v/>
      </c>
      <c r="G6" s="24" t="inlineStr">
        <is>
          <t>it bends and seeks</t>
        </is>
      </c>
    </row>
    <row r="7" ht="24" customHeight="1">
      <c r="A7" s="16" t="inlineStr">
        <is>
          <t>UNI-03b</t>
        </is>
      </c>
      <c r="B7" s="16" t="inlineStr">
        <is>
          <t>Straight</t>
        </is>
      </c>
      <c r="C7" s="22" t="inlineStr">
        <is>
          <t>⇥</t>
        </is>
      </c>
      <c r="D7" s="16" t="inlineStr">
        <is>
          <t>UNI-03a</t>
        </is>
      </c>
      <c r="E7" s="18">
        <f>IFERROR(INDEX($B:$B,MATCH($D7,$A:$A,0)),"")</f>
        <v/>
      </c>
      <c r="F7" s="23">
        <f>IFERROR(INDEX($C:$C,MATCH($D7,$A:$A,0)),"")</f>
        <v/>
      </c>
      <c r="G7" s="24" t="inlineStr">
        <is>
          <t>a true line that cannot be turned aside</t>
        </is>
      </c>
    </row>
    <row r="8" ht="24" customHeight="1">
      <c r="A8" s="16" t="inlineStr">
        <is>
          <t>UNI-04a</t>
        </is>
      </c>
      <c r="B8" s="16" t="inlineStr">
        <is>
          <t>Rise</t>
        </is>
      </c>
      <c r="C8" s="22" t="inlineStr">
        <is>
          <t>↑</t>
        </is>
      </c>
      <c r="D8" s="16" t="inlineStr">
        <is>
          <t>UNI-04b</t>
        </is>
      </c>
      <c r="E8" s="18">
        <f>IFERROR(INDEX($B:$B,MATCH($D8,$A:$A,0)),"")</f>
        <v/>
      </c>
      <c r="F8" s="23">
        <f>IFERROR(INDEX($C:$C,MATCH($D8,$A:$A,0)),"")</f>
        <v/>
      </c>
      <c r="G8" s="24" t="inlineStr">
        <is>
          <t>lifts</t>
        </is>
      </c>
    </row>
    <row r="9" ht="24" customHeight="1">
      <c r="A9" s="16" t="inlineStr">
        <is>
          <t>UNI-04b</t>
        </is>
      </c>
      <c r="B9" s="16" t="inlineStr">
        <is>
          <t>Fall</t>
        </is>
      </c>
      <c r="C9" s="22" t="inlineStr">
        <is>
          <t>↓</t>
        </is>
      </c>
      <c r="D9" s="16" t="inlineStr">
        <is>
          <t>UNI-04a</t>
        </is>
      </c>
      <c r="E9" s="18">
        <f>IFERROR(INDEX($B:$B,MATCH($D9,$A:$A,0)),"")</f>
        <v/>
      </c>
      <c r="F9" s="23">
        <f>IFERROR(INDEX($C:$C,MATCH($D9,$A:$A,0)),"")</f>
        <v/>
      </c>
      <c r="G9" s="24" t="inlineStr">
        <is>
          <t>brings down, knocks flat</t>
        </is>
      </c>
    </row>
    <row r="10" ht="24" customHeight="1">
      <c r="A10" s="16" t="inlineStr">
        <is>
          <t>UNI-05a</t>
        </is>
      </c>
      <c r="B10" s="16" t="inlineStr">
        <is>
          <t>Expand</t>
        </is>
      </c>
      <c r="C10" s="22" t="inlineStr">
        <is>
          <t>◯</t>
        </is>
      </c>
      <c r="D10" s="16" t="inlineStr">
        <is>
          <t>UNI-05b</t>
        </is>
      </c>
      <c r="E10" s="18">
        <f>IFERROR(INDEX($B:$B,MATCH($D10,$A:$A,0)),"")</f>
        <v/>
      </c>
      <c r="F10" s="23">
        <f>IFERROR(INDEX($C:$C,MATCH($D10,$A:$A,0)),"")</f>
        <v/>
      </c>
      <c r="G10" s="24" t="inlineStr">
        <is>
          <t>grows outward, bigger</t>
        </is>
      </c>
    </row>
    <row r="11" ht="24" customHeight="1">
      <c r="A11" s="16" t="inlineStr">
        <is>
          <t>UNI-05b</t>
        </is>
      </c>
      <c r="B11" s="16" t="inlineStr">
        <is>
          <t>Contract</t>
        </is>
      </c>
      <c r="C11" s="22" t="inlineStr">
        <is>
          <t>◉</t>
        </is>
      </c>
      <c r="D11" s="16" t="inlineStr">
        <is>
          <t>UNI-05a</t>
        </is>
      </c>
      <c r="E11" s="18">
        <f>IFERROR(INDEX($B:$B,MATCH($D11,$A:$A,0)),"")</f>
        <v/>
      </c>
      <c r="F11" s="23">
        <f>IFERROR(INDEX($C:$C,MATCH($D11,$A:$A,0)),"")</f>
        <v/>
      </c>
      <c r="G11" s="24" t="inlineStr">
        <is>
          <t>draws inward, smaller and denser</t>
        </is>
      </c>
    </row>
    <row r="12" ht="24" customHeight="1">
      <c r="A12" s="16" t="inlineStr">
        <is>
          <t>UNI-06a</t>
        </is>
      </c>
      <c r="B12" s="16" t="inlineStr">
        <is>
          <t>Near</t>
        </is>
      </c>
      <c r="C12" s="22" t="inlineStr">
        <is>
          <t>⊚</t>
        </is>
      </c>
      <c r="D12" s="16" t="inlineStr">
        <is>
          <t>UNI-06b</t>
        </is>
      </c>
      <c r="E12" s="18">
        <f>IFERROR(INDEX($B:$B,MATCH($D12,$A:$A,0)),"")</f>
        <v/>
      </c>
      <c r="F12" s="23">
        <f>IFERROR(INDEX($C:$C,MATCH($D12,$A:$A,0)),"")</f>
        <v/>
      </c>
      <c r="G12" s="24" t="inlineStr">
        <is>
          <t>close, and stronger close</t>
        </is>
      </c>
    </row>
    <row r="13" ht="24" customHeight="1">
      <c r="A13" s="16" t="inlineStr">
        <is>
          <t>UNI-06b</t>
        </is>
      </c>
      <c r="B13" s="16" t="inlineStr">
        <is>
          <t>Far</t>
        </is>
      </c>
      <c r="C13" s="22" t="inlineStr">
        <is>
          <t>⋯</t>
        </is>
      </c>
      <c r="D13" s="16" t="inlineStr">
        <is>
          <t>UNI-06a</t>
        </is>
      </c>
      <c r="E13" s="18">
        <f>IFERROR(INDEX($B:$B,MATCH($D13,$A:$A,0)),"")</f>
        <v/>
      </c>
      <c r="F13" s="23">
        <f>IFERROR(INDEX($C:$C,MATCH($D13,$A:$A,0)),"")</f>
        <v/>
      </c>
      <c r="G13" s="24" t="inlineStr">
        <is>
          <t>at a distance, with reach</t>
        </is>
      </c>
    </row>
    <row r="14" ht="24" customHeight="1">
      <c r="A14" s="16" t="inlineStr">
        <is>
          <t>UNI-07a</t>
        </is>
      </c>
      <c r="B14" s="16" t="inlineStr">
        <is>
          <t>Focus</t>
        </is>
      </c>
      <c r="C14" s="22" t="inlineStr">
        <is>
          <t>⊙</t>
        </is>
      </c>
      <c r="D14" s="16" t="inlineStr">
        <is>
          <t>UNI-07b</t>
        </is>
      </c>
      <c r="E14" s="18">
        <f>IFERROR(INDEX($B:$B,MATCH($D14,$A:$A,0)),"")</f>
        <v/>
      </c>
      <c r="F14" s="23">
        <f>IFERROR(INDEX($C:$C,MATCH($D14,$A:$A,0)),"")</f>
        <v/>
      </c>
      <c r="G14" s="24" t="inlineStr">
        <is>
          <t>concentrated on a point or an edge</t>
        </is>
      </c>
    </row>
    <row r="15" ht="24" customHeight="1">
      <c r="A15" s="16" t="inlineStr">
        <is>
          <t>UNI-07b</t>
        </is>
      </c>
      <c r="B15" s="16" t="inlineStr">
        <is>
          <t>Scatter</t>
        </is>
      </c>
      <c r="C15" s="22" t="inlineStr">
        <is>
          <t>⁘</t>
        </is>
      </c>
      <c r="D15" s="16" t="inlineStr">
        <is>
          <t>UNI-07a</t>
        </is>
      </c>
      <c r="E15" s="18">
        <f>IFERROR(INDEX($B:$B,MATCH($D15,$A:$A,0)),"")</f>
        <v/>
      </c>
      <c r="F15" s="23">
        <f>IFERROR(INDEX($C:$C,MATCH($D15,$A:$A,0)),"")</f>
        <v/>
      </c>
      <c r="G15" s="24" t="inlineStr">
        <is>
          <t>spread wide</t>
        </is>
      </c>
    </row>
    <row r="16" ht="24" customHeight="1">
      <c r="A16" s="16" t="inlineStr">
        <is>
          <t>UNI-08a</t>
        </is>
      </c>
      <c r="B16" s="16" t="inlineStr">
        <is>
          <t>One</t>
        </is>
      </c>
      <c r="C16" s="22" t="inlineStr">
        <is>
          <t>◆</t>
        </is>
      </c>
      <c r="D16" s="16" t="inlineStr">
        <is>
          <t>UNI-08b</t>
        </is>
      </c>
      <c r="E16" s="18">
        <f>IFERROR(INDEX($B:$B,MATCH($D16,$A:$A,0)),"")</f>
        <v/>
      </c>
      <c r="F16" s="23">
        <f>IFERROR(INDEX($C:$C,MATCH($D16,$A:$A,0)),"")</f>
        <v/>
      </c>
      <c r="G16" s="24" t="inlineStr">
        <is>
          <t>a single target takes all of it</t>
        </is>
      </c>
    </row>
    <row r="17" ht="24" customHeight="1">
      <c r="A17" s="16" t="inlineStr">
        <is>
          <t>UNI-08b</t>
        </is>
      </c>
      <c r="B17" s="16" t="inlineStr">
        <is>
          <t>Many</t>
        </is>
      </c>
      <c r="C17" s="22" t="inlineStr">
        <is>
          <t>⁖</t>
        </is>
      </c>
      <c r="D17" s="16" t="inlineStr">
        <is>
          <t>UNI-08a</t>
        </is>
      </c>
      <c r="E17" s="18">
        <f>IFERROR(INDEX($B:$B,MATCH($D17,$A:$A,0)),"")</f>
        <v/>
      </c>
      <c r="F17" s="23">
        <f>IFERROR(INDEX($C:$C,MATCH($D17,$A:$A,0)),"")</f>
        <v/>
      </c>
      <c r="G17" s="24" t="inlineStr">
        <is>
          <t>many targets, or many copies</t>
        </is>
      </c>
    </row>
    <row r="18" ht="24" customHeight="1">
      <c r="A18" s="16" t="inlineStr">
        <is>
          <t>UNI-09a</t>
        </is>
      </c>
      <c r="B18" s="16" t="inlineStr">
        <is>
          <t>Within</t>
        </is>
      </c>
      <c r="C18" s="22" t="inlineStr">
        <is>
          <t>▣</t>
        </is>
      </c>
      <c r="D18" s="16" t="inlineStr">
        <is>
          <t>UNI-09b</t>
        </is>
      </c>
      <c r="E18" s="18">
        <f>IFERROR(INDEX($B:$B,MATCH($D18,$A:$A,0)),"")</f>
        <v/>
      </c>
      <c r="F18" s="23">
        <f>IFERROR(INDEX($C:$C,MATCH($D18,$A:$A,0)),"")</f>
        <v/>
      </c>
      <c r="G18" s="24" t="inlineStr">
        <is>
          <t>inside the target, past armour</t>
        </is>
      </c>
    </row>
    <row r="19" ht="24" customHeight="1">
      <c r="A19" s="16" t="inlineStr">
        <is>
          <t>UNI-09b</t>
        </is>
      </c>
      <c r="B19" s="16" t="inlineStr">
        <is>
          <t>Without</t>
        </is>
      </c>
      <c r="C19" s="22" t="inlineStr">
        <is>
          <t>□</t>
        </is>
      </c>
      <c r="D19" s="16" t="inlineStr">
        <is>
          <t>UNI-09a</t>
        </is>
      </c>
      <c r="E19" s="18">
        <f>IFERROR(INDEX($B:$B,MATCH($D19,$A:$A,0)),"")</f>
        <v/>
      </c>
      <c r="F19" s="23">
        <f>IFERROR(INDEX($C:$C,MATCH($D19,$A:$A,0)),"")</f>
        <v/>
      </c>
      <c r="G19" s="24" t="inlineStr">
        <is>
          <t>outside, around: a shell</t>
        </is>
      </c>
    </row>
    <row r="20" ht="24" customHeight="1">
      <c r="A20" s="16" t="inlineStr">
        <is>
          <t>UNI-10a</t>
        </is>
      </c>
      <c r="B20" s="16" t="inlineStr">
        <is>
          <t>Here</t>
        </is>
      </c>
      <c r="C20" s="22" t="inlineStr">
        <is>
          <t>⌖</t>
        </is>
      </c>
      <c r="D20" s="16" t="inlineStr">
        <is>
          <t>UNI-10b</t>
        </is>
      </c>
      <c r="E20" s="18">
        <f>IFERROR(INDEX($B:$B,MATCH($D20,$A:$A,0)),"")</f>
        <v/>
      </c>
      <c r="F20" s="23">
        <f>IFERROR(INDEX($C:$C,MATCH($D20,$A:$A,0)),"")</f>
        <v/>
      </c>
      <c r="G20" s="24" t="inlineStr">
        <is>
          <t>at the spot</t>
        </is>
      </c>
    </row>
    <row r="21" ht="24" customHeight="1">
      <c r="A21" s="16" t="inlineStr">
        <is>
          <t>UNI-10b</t>
        </is>
      </c>
      <c r="B21" s="16" t="inlineStr">
        <is>
          <t>Elsewhere</t>
        </is>
      </c>
      <c r="C21" s="22" t="inlineStr">
        <is>
          <t>⤳</t>
        </is>
      </c>
      <c r="D21" s="16" t="inlineStr">
        <is>
          <t>UNI-10a</t>
        </is>
      </c>
      <c r="E21" s="18">
        <f>IFERROR(INDEX($B:$B,MATCH($D21,$A:$A,0)),"")</f>
        <v/>
      </c>
      <c r="F21" s="23">
        <f>IFERROR(INDEX($C:$C,MATCH($D21,$A:$A,0)),"")</f>
        <v/>
      </c>
      <c r="G21" s="24" t="inlineStr">
        <is>
          <t>displaced: it lands, or moves you, somewhere else</t>
        </is>
      </c>
    </row>
    <row r="22" ht="24" customHeight="1">
      <c r="A22" s="16" t="inlineStr">
        <is>
          <t>UNI-11a</t>
        </is>
      </c>
      <c r="B22" s="16" t="inlineStr">
        <is>
          <t>Persist</t>
        </is>
      </c>
      <c r="C22" s="22" t="inlineStr">
        <is>
          <t>∞</t>
        </is>
      </c>
      <c r="D22" s="16" t="inlineStr">
        <is>
          <t>UNI-11b</t>
        </is>
      </c>
      <c r="E22" s="18">
        <f>IFERROR(INDEX($B:$B,MATCH($D22,$A:$A,0)),"")</f>
        <v/>
      </c>
      <c r="F22" s="23">
        <f>IFERROR(INDEX($C:$C,MATCH($D22,$A:$A,0)),"")</f>
        <v/>
      </c>
      <c r="G22" s="24" t="inlineStr">
        <is>
          <t>lasts</t>
        </is>
      </c>
    </row>
    <row r="23" ht="24" customHeight="1">
      <c r="A23" s="16" t="inlineStr">
        <is>
          <t>UNI-11b</t>
        </is>
      </c>
      <c r="B23" s="16" t="inlineStr">
        <is>
          <t>Fade</t>
        </is>
      </c>
      <c r="C23" s="22" t="inlineStr">
        <is>
          <t>◌</t>
        </is>
      </c>
      <c r="D23" s="16" t="inlineStr">
        <is>
          <t>UNI-11a</t>
        </is>
      </c>
      <c r="E23" s="18">
        <f>IFERROR(INDEX($B:$B,MATCH($D23,$A:$A,0)),"")</f>
        <v/>
      </c>
      <c r="F23" s="23">
        <f>IFERROR(INDEX($C:$C,MATCH($D23,$A:$A,0)),"")</f>
        <v/>
      </c>
      <c r="G23" s="24" t="inlineStr">
        <is>
          <t>short, ends early, stronger while it lasts</t>
        </is>
      </c>
    </row>
    <row r="24" ht="24" customHeight="1">
      <c r="A24" s="16" t="inlineStr">
        <is>
          <t>UNI-12a</t>
        </is>
      </c>
      <c r="B24" s="16" t="inlineStr">
        <is>
          <t>Hold</t>
        </is>
      </c>
      <c r="C24" s="22" t="inlineStr">
        <is>
          <t>⧗</t>
        </is>
      </c>
      <c r="D24" s="16" t="inlineStr">
        <is>
          <t>UNI-12b</t>
        </is>
      </c>
      <c r="E24" s="18">
        <f>IFERROR(INDEX($B:$B,MATCH($D24,$A:$A,0)),"")</f>
        <v/>
      </c>
      <c r="F24" s="23">
        <f>IFERROR(INDEX($C:$C,MATCH($D24,$A:$A,0)),"")</f>
        <v/>
      </c>
      <c r="G24" s="24" t="inlineStr">
        <is>
          <t>charged by holding it</t>
        </is>
      </c>
    </row>
    <row r="25" ht="24" customHeight="1">
      <c r="A25" s="16" t="inlineStr">
        <is>
          <t>UNI-12b</t>
        </is>
      </c>
      <c r="B25" s="16" t="inlineStr">
        <is>
          <t>Loose</t>
        </is>
      </c>
      <c r="C25" s="22" t="inlineStr">
        <is>
          <t>⇡</t>
        </is>
      </c>
      <c r="D25" s="16" t="inlineStr">
        <is>
          <t>UNI-12a</t>
        </is>
      </c>
      <c r="E25" s="18">
        <f>IFERROR(INDEX($B:$B,MATCH($D25,$A:$A,0)),"")</f>
        <v/>
      </c>
      <c r="F25" s="23">
        <f>IFERROR(INDEX($C:$C,MATCH($D25,$A:$A,0)),"")</f>
        <v/>
      </c>
      <c r="G25" s="24" t="inlineStr">
        <is>
          <t>let go at once</t>
        </is>
      </c>
    </row>
    <row r="26" ht="24" customHeight="1">
      <c r="A26" s="16" t="inlineStr">
        <is>
          <t>UNI-13a</t>
        </is>
      </c>
      <c r="B26" s="16" t="inlineStr">
        <is>
          <t>Repeat</t>
        </is>
      </c>
      <c r="C26" s="22" t="inlineStr">
        <is>
          <t>↻</t>
        </is>
      </c>
      <c r="D26" s="16" t="inlineStr">
        <is>
          <t>UNI-13b</t>
        </is>
      </c>
      <c r="E26" s="18">
        <f>IFERROR(INDEX($B:$B,MATCH($D26,$A:$A,0)),"")</f>
        <v/>
      </c>
      <c r="F26" s="23">
        <f>IFERROR(INDEX($C:$C,MATCH($D26,$A:$A,0)),"")</f>
        <v/>
      </c>
      <c r="G26" s="24" t="inlineStr">
        <is>
          <t>happens again</t>
        </is>
      </c>
    </row>
    <row r="27" ht="24" customHeight="1">
      <c r="A27" s="16" t="inlineStr">
        <is>
          <t>UNI-13b</t>
        </is>
      </c>
      <c r="B27" s="16" t="inlineStr">
        <is>
          <t>Once</t>
        </is>
      </c>
      <c r="C27" s="22" t="inlineStr">
        <is>
          <t>⊣</t>
        </is>
      </c>
      <c r="D27" s="16" t="inlineStr">
        <is>
          <t>UNI-13a</t>
        </is>
      </c>
      <c r="E27" s="18">
        <f>IFERROR(INDEX($B:$B,MATCH($D27,$A:$A,0)),"")</f>
        <v/>
      </c>
      <c r="F27" s="23">
        <f>IFERROR(INDEX($C:$C,MATCH($D27,$A:$A,0)),"")</f>
        <v/>
      </c>
      <c r="G27" s="24" t="inlineStr">
        <is>
          <t>one time, all of it at once</t>
        </is>
      </c>
    </row>
    <row r="28" ht="24" customHeight="1">
      <c r="A28" s="16" t="inlineStr">
        <is>
          <t>UNI-14a</t>
        </is>
      </c>
      <c r="B28" s="16" t="inlineStr">
        <is>
          <t>Before</t>
        </is>
      </c>
      <c r="C28" s="22" t="inlineStr">
        <is>
          <t>⟲</t>
        </is>
      </c>
      <c r="D28" s="16" t="inlineStr">
        <is>
          <t>UNI-14b</t>
        </is>
      </c>
      <c r="E28" s="18">
        <f>IFERROR(INDEX($B:$B,MATCH($D28,$A:$A,0)),"")</f>
        <v/>
      </c>
      <c r="F28" s="23">
        <f>IFERROR(INDEX($C:$C,MATCH($D28,$A:$A,0)),"")</f>
        <v/>
      </c>
      <c r="G28" s="24" t="inlineStr">
        <is>
          <t>acts on what was: undo, rewind</t>
        </is>
      </c>
    </row>
    <row r="29" ht="24" customHeight="1">
      <c r="A29" s="16" t="inlineStr">
        <is>
          <t>UNI-14b</t>
        </is>
      </c>
      <c r="B29" s="16" t="inlineStr">
        <is>
          <t>After</t>
        </is>
      </c>
      <c r="C29" s="22" t="inlineStr">
        <is>
          <t>⟳</t>
        </is>
      </c>
      <c r="D29" s="16" t="inlineStr">
        <is>
          <t>UNI-14a</t>
        </is>
      </c>
      <c r="E29" s="18">
        <f>IFERROR(INDEX($B:$B,MATCH($D29,$A:$A,0)),"")</f>
        <v/>
      </c>
      <c r="F29" s="23">
        <f>IFERROR(INDEX($C:$C,MATCH($D29,$A:$A,0)),"")</f>
        <v/>
      </c>
      <c r="G29" s="24" t="inlineStr">
        <is>
          <t>acts on what comes: foresight, the next hit</t>
        </is>
      </c>
    </row>
    <row r="30" ht="24" customHeight="1">
      <c r="A30" s="16" t="inlineStr">
        <is>
          <t>UNI-15a</t>
        </is>
      </c>
      <c r="B30" s="16" t="inlineStr">
        <is>
          <t>Bind</t>
        </is>
      </c>
      <c r="C30" s="22" t="inlineStr">
        <is>
          <t>⧓</t>
        </is>
      </c>
      <c r="D30" s="16" t="inlineStr">
        <is>
          <t>UNI-15b</t>
        </is>
      </c>
      <c r="E30" s="18">
        <f>IFERROR(INDEX($B:$B,MATCH($D30,$A:$A,0)),"")</f>
        <v/>
      </c>
      <c r="F30" s="23">
        <f>IFERROR(INDEX($C:$C,MATCH($D30,$A:$A,0)),"")</f>
        <v/>
      </c>
      <c r="G30" s="24" t="inlineStr">
        <is>
          <t>joins, holds, tethers</t>
        </is>
      </c>
    </row>
    <row r="31" ht="24" customHeight="1">
      <c r="A31" s="16" t="inlineStr">
        <is>
          <t>UNI-15b</t>
        </is>
      </c>
      <c r="B31" s="16" t="inlineStr">
        <is>
          <t>Sever</t>
        </is>
      </c>
      <c r="C31" s="22" t="inlineStr">
        <is>
          <t>⫽</t>
        </is>
      </c>
      <c r="D31" s="16" t="inlineStr">
        <is>
          <t>UNI-15a</t>
        </is>
      </c>
      <c r="E31" s="18">
        <f>IFERROR(INDEX($B:$B,MATCH($D31,$A:$A,0)),"")</f>
        <v/>
      </c>
      <c r="F31" s="23">
        <f>IFERROR(INDEX($C:$C,MATCH($D31,$A:$A,0)),"")</f>
        <v/>
      </c>
      <c r="G31" s="24" t="inlineStr">
        <is>
          <t>cuts, separates</t>
        </is>
      </c>
    </row>
    <row r="32" ht="24" customHeight="1">
      <c r="A32" s="16" t="inlineStr">
        <is>
          <t>UNI-16a</t>
        </is>
      </c>
      <c r="B32" s="16" t="inlineStr">
        <is>
          <t>Attract</t>
        </is>
      </c>
      <c r="C32" s="22" t="inlineStr">
        <is>
          <t>⇇</t>
        </is>
      </c>
      <c r="D32" s="16" t="inlineStr">
        <is>
          <t>UNI-16b</t>
        </is>
      </c>
      <c r="E32" s="18">
        <f>IFERROR(INDEX($B:$B,MATCH($D32,$A:$A,0)),"")</f>
        <v/>
      </c>
      <c r="F32" s="23">
        <f>IFERROR(INDEX($C:$C,MATCH($D32,$A:$A,0)),"")</f>
        <v/>
      </c>
      <c r="G32" s="24" t="inlineStr">
        <is>
          <t>pulls toward</t>
        </is>
      </c>
    </row>
    <row r="33" ht="24" customHeight="1">
      <c r="A33" s="16" t="inlineStr">
        <is>
          <t>UNI-16b</t>
        </is>
      </c>
      <c r="B33" s="16" t="inlineStr">
        <is>
          <t>Repel</t>
        </is>
      </c>
      <c r="C33" s="22" t="inlineStr">
        <is>
          <t>⇉</t>
        </is>
      </c>
      <c r="D33" s="16" t="inlineStr">
        <is>
          <t>UNI-16a</t>
        </is>
      </c>
      <c r="E33" s="18">
        <f>IFERROR(INDEX($B:$B,MATCH($D33,$A:$A,0)),"")</f>
        <v/>
      </c>
      <c r="F33" s="23">
        <f>IFERROR(INDEX($C:$C,MATCH($D33,$A:$A,0)),"")</f>
        <v/>
      </c>
      <c r="G33" s="24" t="inlineStr">
        <is>
          <t>pushes away</t>
        </is>
      </c>
    </row>
    <row r="34" ht="24" customHeight="1">
      <c r="A34" s="16" t="inlineStr">
        <is>
          <t>UNI-17a</t>
        </is>
      </c>
      <c r="B34" s="16" t="inlineStr">
        <is>
          <t>Give</t>
        </is>
      </c>
      <c r="C34" s="22" t="inlineStr">
        <is>
          <t>⊳</t>
        </is>
      </c>
      <c r="D34" s="16" t="inlineStr">
        <is>
          <t>UNI-17b</t>
        </is>
      </c>
      <c r="E34" s="18">
        <f>IFERROR(INDEX($B:$B,MATCH($D34,$A:$A,0)),"")</f>
        <v/>
      </c>
      <c r="F34" s="23">
        <f>IFERROR(INDEX($C:$C,MATCH($D34,$A:$A,0)),"")</f>
        <v/>
      </c>
      <c r="G34" s="24" t="inlineStr">
        <is>
          <t>grants to the target</t>
        </is>
      </c>
    </row>
    <row r="35" ht="24" customHeight="1">
      <c r="A35" s="16" t="inlineStr">
        <is>
          <t>UNI-17b</t>
        </is>
      </c>
      <c r="B35" s="16" t="inlineStr">
        <is>
          <t>Take</t>
        </is>
      </c>
      <c r="C35" s="22" t="inlineStr">
        <is>
          <t>⊲</t>
        </is>
      </c>
      <c r="D35" s="16" t="inlineStr">
        <is>
          <t>UNI-17a</t>
        </is>
      </c>
      <c r="E35" s="18">
        <f>IFERROR(INDEX($B:$B,MATCH($D35,$A:$A,0)),"")</f>
        <v/>
      </c>
      <c r="F35" s="23">
        <f>IFERROR(INDEX($C:$C,MATCH($D35,$A:$A,0)),"")</f>
        <v/>
      </c>
      <c r="G35" s="24" t="inlineStr">
        <is>
          <t>takes from the target, to you</t>
        </is>
      </c>
    </row>
    <row r="36" ht="24" customHeight="1">
      <c r="A36" s="16" t="inlineStr">
        <is>
          <t>UNI-18a</t>
        </is>
      </c>
      <c r="B36" s="16" t="inlineStr">
        <is>
          <t>Self</t>
        </is>
      </c>
      <c r="C36" s="22" t="inlineStr">
        <is>
          <t>☉</t>
        </is>
      </c>
      <c r="D36" s="16" t="inlineStr">
        <is>
          <t>UNI-18b</t>
        </is>
      </c>
      <c r="E36" s="18">
        <f>IFERROR(INDEX($B:$B,MATCH($D36,$A:$A,0)),"")</f>
        <v/>
      </c>
      <c r="F36" s="23">
        <f>IFERROR(INDEX($C:$C,MATCH($D36,$A:$A,0)),"")</f>
        <v/>
      </c>
      <c r="G36" s="24" t="inlineStr">
        <is>
          <t>acts on the caster</t>
        </is>
      </c>
    </row>
    <row r="37" ht="24" customHeight="1">
      <c r="A37" s="16" t="inlineStr">
        <is>
          <t>UNI-18b</t>
        </is>
      </c>
      <c r="B37" s="16" t="inlineStr">
        <is>
          <t>Other</t>
        </is>
      </c>
      <c r="C37" s="22" t="inlineStr">
        <is>
          <t>⚬</t>
        </is>
      </c>
      <c r="D37" s="16" t="inlineStr">
        <is>
          <t>UNI-18a</t>
        </is>
      </c>
      <c r="E37" s="18">
        <f>IFERROR(INDEX($B:$B,MATCH($D37,$A:$A,0)),"")</f>
        <v/>
      </c>
      <c r="F37" s="23">
        <f>IFERROR(INDEX($C:$C,MATCH($D37,$A:$A,0)),"")</f>
        <v/>
      </c>
      <c r="G37" s="24" t="inlineStr">
        <is>
          <t>acts on others</t>
        </is>
      </c>
    </row>
    <row r="38" ht="24" customHeight="1">
      <c r="A38" s="16" t="inlineStr">
        <is>
          <t>UNI-19a</t>
        </is>
      </c>
      <c r="B38" s="16" t="inlineStr">
        <is>
          <t>Order</t>
        </is>
      </c>
      <c r="C38" s="22" t="inlineStr">
        <is>
          <t>⊞</t>
        </is>
      </c>
      <c r="D38" s="16" t="inlineStr">
        <is>
          <t>UNI-19b</t>
        </is>
      </c>
      <c r="E38" s="18">
        <f>IFERROR(INDEX($B:$B,MATCH($D38,$A:$A,0)),"")</f>
        <v/>
      </c>
      <c r="F38" s="23">
        <f>IFERROR(INDEX($C:$C,MATCH($D38,$A:$A,0)),"")</f>
        <v/>
      </c>
      <c r="G38" s="24" t="inlineStr">
        <is>
          <t>makes form and structure</t>
        </is>
      </c>
    </row>
    <row r="39" ht="24" customHeight="1">
      <c r="A39" s="16" t="inlineStr">
        <is>
          <t>UNI-19b</t>
        </is>
      </c>
      <c r="B39" s="16" t="inlineStr">
        <is>
          <t>Entropy</t>
        </is>
      </c>
      <c r="C39" s="22" t="inlineStr">
        <is>
          <t>⁂</t>
        </is>
      </c>
      <c r="D39" s="16" t="inlineStr">
        <is>
          <t>UNI-19a</t>
        </is>
      </c>
      <c r="E39" s="18">
        <f>IFERROR(INDEX($B:$B,MATCH($D39,$A:$A,0)),"")</f>
        <v/>
      </c>
      <c r="F39" s="23">
        <f>IFERROR(INDEX($C:$C,MATCH($D39,$A:$A,0)),"")</f>
        <v/>
      </c>
      <c r="G39" s="24" t="inlineStr">
        <is>
          <t>unmakes it</t>
        </is>
      </c>
    </row>
    <row r="40" ht="24" customHeight="1">
      <c r="A40" s="16" t="inlineStr">
        <is>
          <t>UNI-20a</t>
        </is>
      </c>
      <c r="B40" s="16" t="inlineStr">
        <is>
          <t>Pure</t>
        </is>
      </c>
      <c r="C40" s="22" t="inlineStr">
        <is>
          <t>◇</t>
        </is>
      </c>
      <c r="D40" s="16" t="inlineStr">
        <is>
          <t>UNI-20b</t>
        </is>
      </c>
      <c r="E40" s="18">
        <f>IFERROR(INDEX($B:$B,MATCH($D40,$A:$A,0)),"")</f>
        <v/>
      </c>
      <c r="F40" s="23">
        <f>IFERROR(INDEX($C:$C,MATCH($D40,$A:$A,0)),"")</f>
        <v/>
      </c>
      <c r="G40" s="24" t="inlineStr">
        <is>
          <t>cleanses</t>
        </is>
      </c>
    </row>
    <row r="41" ht="24" customHeight="1">
      <c r="A41" s="16" t="inlineStr">
        <is>
          <t>UNI-20b</t>
        </is>
      </c>
      <c r="B41" s="16" t="inlineStr">
        <is>
          <t>Tainted</t>
        </is>
      </c>
      <c r="C41" s="22" t="inlineStr">
        <is>
          <t>◈</t>
        </is>
      </c>
      <c r="D41" s="16" t="inlineStr">
        <is>
          <t>UNI-20a</t>
        </is>
      </c>
      <c r="E41" s="18">
        <f>IFERROR(INDEX($B:$B,MATCH($D41,$A:$A,0)),"")</f>
        <v/>
      </c>
      <c r="F41" s="23">
        <f>IFERROR(INDEX($C:$C,MATCH($D41,$A:$A,0)),"")</f>
        <v/>
      </c>
      <c r="G41" s="24" t="inlineStr">
        <is>
          <t>corrupts, sickens</t>
        </is>
      </c>
    </row>
    <row r="42" ht="24" customHeight="1">
      <c r="A42" s="16" t="inlineStr">
        <is>
          <t>UNI-21a</t>
        </is>
      </c>
      <c r="B42" s="16" t="inlineStr">
        <is>
          <t>Reveal</t>
        </is>
      </c>
      <c r="C42" s="22" t="inlineStr">
        <is>
          <t>☼</t>
        </is>
      </c>
      <c r="D42" s="16" t="inlineStr">
        <is>
          <t>UNI-21b</t>
        </is>
      </c>
      <c r="E42" s="18">
        <f>IFERROR(INDEX($B:$B,MATCH($D42,$A:$A,0)),"")</f>
        <v/>
      </c>
      <c r="F42" s="23">
        <f>IFERROR(INDEX($C:$C,MATCH($D42,$A:$A,0)),"")</f>
        <v/>
      </c>
      <c r="G42" s="24" t="inlineStr">
        <is>
          <t>shows</t>
        </is>
      </c>
    </row>
    <row r="43" ht="24" customHeight="1">
      <c r="A43" s="16" t="inlineStr">
        <is>
          <t>UNI-21b</t>
        </is>
      </c>
      <c r="B43" s="16" t="inlineStr">
        <is>
          <t>Veil</t>
        </is>
      </c>
      <c r="C43" s="22" t="inlineStr">
        <is>
          <t>◒</t>
        </is>
      </c>
      <c r="D43" s="16" t="inlineStr">
        <is>
          <t>UNI-21a</t>
        </is>
      </c>
      <c r="E43" s="18">
        <f>IFERROR(INDEX($B:$B,MATCH($D43,$A:$A,0)),"")</f>
        <v/>
      </c>
      <c r="F43" s="23">
        <f>IFERROR(INDEX($C:$C,MATCH($D43,$A:$A,0)),"")</f>
        <v/>
      </c>
      <c r="G43" s="24" t="inlineStr">
        <is>
          <t>hides</t>
        </is>
      </c>
    </row>
    <row r="44" ht="24" customHeight="1">
      <c r="A44" s="16" t="inlineStr">
        <is>
          <t>UNI-22a</t>
        </is>
      </c>
      <c r="B44" s="16" t="inlineStr">
        <is>
          <t>Calm</t>
        </is>
      </c>
      <c r="C44" s="22" t="inlineStr">
        <is>
          <t>≈</t>
        </is>
      </c>
      <c r="D44" s="16" t="inlineStr">
        <is>
          <t>UNI-22b</t>
        </is>
      </c>
      <c r="E44" s="18">
        <f>IFERROR(INDEX($B:$B,MATCH($D44,$A:$A,0)),"")</f>
        <v/>
      </c>
      <c r="F44" s="23">
        <f>IFERROR(INDEX($C:$C,MATCH($D44,$A:$A,0)),"")</f>
        <v/>
      </c>
      <c r="G44" s="24" t="inlineStr">
        <is>
          <t>soothes, steadies</t>
        </is>
      </c>
    </row>
    <row r="45" ht="24" customHeight="1">
      <c r="A45" s="16" t="inlineStr">
        <is>
          <t>UNI-22b</t>
        </is>
      </c>
      <c r="B45" s="16" t="inlineStr">
        <is>
          <t>Fury</t>
        </is>
      </c>
      <c r="C45" s="22" t="inlineStr">
        <is>
          <t>≋</t>
        </is>
      </c>
      <c r="D45" s="16" t="inlineStr">
        <is>
          <t>UNI-22a</t>
        </is>
      </c>
      <c r="E45" s="18">
        <f>IFERROR(INDEX($B:$B,MATCH($D45,$A:$A,0)),"")</f>
        <v/>
      </c>
      <c r="F45" s="23">
        <f>IFERROR(INDEX($C:$C,MATCH($D45,$A:$A,0)),"")</f>
        <v/>
      </c>
      <c r="G45" s="24" t="inlineStr">
        <is>
          <t>enrages, frenzies</t>
        </is>
      </c>
    </row>
    <row r="46" ht="24" customHeight="1">
      <c r="A46" s="16" t="inlineStr">
        <is>
          <t>UNI-23a</t>
        </is>
      </c>
      <c r="B46" s="16" t="inlineStr">
        <is>
          <t>Will</t>
        </is>
      </c>
      <c r="C46" s="22" t="inlineStr">
        <is>
          <t>⇑</t>
        </is>
      </c>
      <c r="D46" s="16" t="inlineStr">
        <is>
          <t>UNI-23b</t>
        </is>
      </c>
      <c r="E46" s="18">
        <f>IFERROR(INDEX($B:$B,MATCH($D46,$A:$A,0)),"")</f>
        <v/>
      </c>
      <c r="F46" s="23">
        <f>IFERROR(INDEX($C:$C,MATCH($D46,$A:$A,0)),"")</f>
        <v/>
      </c>
      <c r="G46" s="24" t="inlineStr">
        <is>
          <t>commands</t>
        </is>
      </c>
    </row>
    <row r="47" ht="24" customHeight="1">
      <c r="A47" s="16" t="inlineStr">
        <is>
          <t>UNI-23b</t>
        </is>
      </c>
      <c r="B47" s="16" t="inlineStr">
        <is>
          <t>Yield</t>
        </is>
      </c>
      <c r="C47" s="22" t="inlineStr">
        <is>
          <t>⇓</t>
        </is>
      </c>
      <c r="D47" s="16" t="inlineStr">
        <is>
          <t>UNI-23a</t>
        </is>
      </c>
      <c r="E47" s="18">
        <f>IFERROR(INDEX($B:$B,MATCH($D47,$A:$A,0)),"")</f>
        <v/>
      </c>
      <c r="F47" s="23">
        <f>IFERROR(INDEX($C:$C,MATCH($D47,$A:$A,0)),"")</f>
        <v/>
      </c>
      <c r="G47" s="24" t="inlineStr">
        <is>
          <t>gives way: softens, absorbs, submits</t>
        </is>
      </c>
    </row>
    <row r="48" ht="24" customHeight="1">
      <c r="A48" s="16" t="inlineStr">
        <is>
          <t>UNI-24a</t>
        </is>
      </c>
      <c r="B48" s="16" t="inlineStr">
        <is>
          <t>Remember</t>
        </is>
      </c>
      <c r="C48" s="22" t="inlineStr">
        <is>
          <t>⊛</t>
        </is>
      </c>
      <c r="D48" s="16" t="inlineStr">
        <is>
          <t>UNI-24b</t>
        </is>
      </c>
      <c r="E48" s="18">
        <f>IFERROR(INDEX($B:$B,MATCH($D48,$A:$A,0)),"")</f>
        <v/>
      </c>
      <c r="F48" s="23">
        <f>IFERROR(INDEX($C:$C,MATCH($D48,$A:$A,0)),"")</f>
        <v/>
      </c>
      <c r="G48" s="24" t="inlineStr">
        <is>
          <t>marks and effects stick</t>
        </is>
      </c>
    </row>
    <row r="49" ht="24" customHeight="1">
      <c r="A49" s="16" t="inlineStr">
        <is>
          <t>UNI-24b</t>
        </is>
      </c>
      <c r="B49" s="16" t="inlineStr">
        <is>
          <t>Forget</t>
        </is>
      </c>
      <c r="C49" s="22" t="inlineStr">
        <is>
          <t>⊘</t>
        </is>
      </c>
      <c r="D49" s="16" t="inlineStr">
        <is>
          <t>UNI-24a</t>
        </is>
      </c>
      <c r="E49" s="18">
        <f>IFERROR(INDEX($B:$B,MATCH($D49,$A:$A,0)),"")</f>
        <v/>
      </c>
      <c r="F49" s="23">
        <f>IFERROR(INDEX($C:$C,MATCH($D49,$A:$A,0)),"")</f>
        <v/>
      </c>
      <c r="G49" s="24" t="inlineStr">
        <is>
          <t>loses track, lets go</t>
        </is>
      </c>
    </row>
    <row r="50" ht="24" customHeight="1">
      <c r="A50" s="16" t="inlineStr">
        <is>
          <t>UNI-25a</t>
        </is>
      </c>
      <c r="B50" s="16" t="inlineStr">
        <is>
          <t>Essence</t>
        </is>
      </c>
      <c r="C50" s="22" t="inlineStr">
        <is>
          <t>✦</t>
        </is>
      </c>
      <c r="D50" s="16" t="inlineStr">
        <is>
          <t>UNI-25b</t>
        </is>
      </c>
      <c r="E50" s="18">
        <f>IFERROR(INDEX($B:$B,MATCH($D50,$A:$A,0)),"")</f>
        <v/>
      </c>
      <c r="F50" s="23">
        <f>IFERROR(INDEX($C:$C,MATCH($D50,$A:$A,0)),"")</f>
        <v/>
      </c>
      <c r="G50" s="24" t="inlineStr">
        <is>
          <t>carried by clean essence</t>
        </is>
      </c>
    </row>
    <row r="51" ht="24" customHeight="1">
      <c r="A51" s="16" t="inlineStr">
        <is>
          <t>UNI-25b</t>
        </is>
      </c>
      <c r="B51" s="16" t="inlineStr">
        <is>
          <t>Reflux</t>
        </is>
      </c>
      <c r="C51" s="22" t="inlineStr">
        <is>
          <t>✧</t>
        </is>
      </c>
      <c r="D51" s="16" t="inlineStr">
        <is>
          <t>UNI-25a</t>
        </is>
      </c>
      <c r="E51" s="18">
        <f>IFERROR(INDEX($B:$B,MATCH($D51,$A:$A,0)),"")</f>
        <v/>
      </c>
      <c r="F51" s="23">
        <f>IFERROR(INDEX($C:$C,MATCH($D51,$A:$A,0)),"")</f>
        <v/>
      </c>
      <c r="G51" s="24" t="inlineStr">
        <is>
          <t>carried by spent heat</t>
        </is>
      </c>
    </row>
    <row r="52" ht="24" customHeight="1">
      <c r="A52" s="16" t="inlineStr">
        <is>
          <t>UNI-26a</t>
        </is>
      </c>
      <c r="B52" s="16" t="inlineStr">
        <is>
          <t>Life</t>
        </is>
      </c>
      <c r="C52" s="22" t="inlineStr">
        <is>
          <t>⚘</t>
        </is>
      </c>
      <c r="D52" s="16" t="inlineStr">
        <is>
          <t>UNI-26b</t>
        </is>
      </c>
      <c r="E52" s="18">
        <f>IFERROR(INDEX($B:$B,MATCH($D52,$A:$A,0)),"")</f>
        <v/>
      </c>
      <c r="F52" s="23">
        <f>IFERROR(INDEX($C:$C,MATCH($D52,$A:$A,0)),"")</f>
        <v/>
      </c>
      <c r="G52" s="24" t="inlineStr">
        <is>
          <t>carried by vitality</t>
        </is>
      </c>
    </row>
    <row r="53" ht="24" customHeight="1">
      <c r="A53" s="16" t="inlineStr">
        <is>
          <t>UNI-26b</t>
        </is>
      </c>
      <c r="B53" s="16" t="inlineStr">
        <is>
          <t>Death</t>
        </is>
      </c>
      <c r="C53" s="22" t="inlineStr">
        <is>
          <t>⚱</t>
        </is>
      </c>
      <c r="D53" s="16" t="inlineStr">
        <is>
          <t>UNI-26a</t>
        </is>
      </c>
      <c r="E53" s="18">
        <f>IFERROR(INDEX($B:$B,MATCH($D53,$A:$A,0)),"")</f>
        <v/>
      </c>
      <c r="F53" s="23">
        <f>IFERROR(INDEX($C:$C,MATCH($D53,$A:$A,0)),"")</f>
        <v/>
      </c>
      <c r="G53" s="24" t="inlineStr">
        <is>
          <t>carried by ending</t>
        </is>
      </c>
    </row>
    <row r="54" ht="24" customHeight="1">
      <c r="A54" s="16" t="inlineStr">
        <is>
          <t>UNI-27a</t>
        </is>
      </c>
      <c r="B54" s="16" t="inlineStr">
        <is>
          <t>Soul</t>
        </is>
      </c>
      <c r="C54" s="22" t="inlineStr">
        <is>
          <t>✵</t>
        </is>
      </c>
      <c r="D54" s="16" t="inlineStr">
        <is>
          <t>UNI-27b</t>
        </is>
      </c>
      <c r="E54" s="18">
        <f>IFERROR(INDEX($B:$B,MATCH($D54,$A:$A,0)),"")</f>
        <v/>
      </c>
      <c r="F54" s="23">
        <f>IFERROR(INDEX($C:$C,MATCH($D54,$A:$A,0)),"")</f>
        <v/>
      </c>
      <c r="G54" s="24" t="inlineStr">
        <is>
          <t>strikes the soul</t>
        </is>
      </c>
    </row>
    <row r="55" ht="24" customHeight="1">
      <c r="A55" s="16" t="inlineStr">
        <is>
          <t>UNI-27b</t>
        </is>
      </c>
      <c r="B55" s="16" t="inlineStr">
        <is>
          <t>Body</t>
        </is>
      </c>
      <c r="C55" s="22" t="inlineStr">
        <is>
          <t>⬢</t>
        </is>
      </c>
      <c r="D55" s="16" t="inlineStr">
        <is>
          <t>UNI-27a</t>
        </is>
      </c>
      <c r="E55" s="18">
        <f>IFERROR(INDEX($B:$B,MATCH($D55,$A:$A,0)),"")</f>
        <v/>
      </c>
      <c r="F55" s="23">
        <f>IFERROR(INDEX($C:$C,MATCH($D55,$A:$A,0)),"")</f>
        <v/>
      </c>
      <c r="G55" s="24" t="inlineStr">
        <is>
          <t>strikes the flesh</t>
        </is>
      </c>
    </row>
    <row r="56" ht="24" customHeight="1">
      <c r="A56" s="16" t="inlineStr">
        <is>
          <t>UNI-28a</t>
        </is>
      </c>
      <c r="B56" s="16" t="inlineStr">
        <is>
          <t>Fate</t>
        </is>
      </c>
      <c r="C56" s="22" t="inlineStr">
        <is>
          <t>⊜</t>
        </is>
      </c>
      <c r="D56" s="16" t="inlineStr">
        <is>
          <t>UNI-28b</t>
        </is>
      </c>
      <c r="E56" s="18">
        <f>IFERROR(INDEX($B:$B,MATCH($D56,$A:$A,0)),"")</f>
        <v/>
      </c>
      <c r="F56" s="23">
        <f>IFERROR(INDEX($C:$C,MATCH($D56,$A:$A,0)),"")</f>
        <v/>
      </c>
      <c r="G56" s="24" t="inlineStr">
        <is>
          <t>certain</t>
        </is>
      </c>
    </row>
    <row r="57" ht="24" customHeight="1">
      <c r="A57" s="16" t="inlineStr">
        <is>
          <t>UNI-28b</t>
        </is>
      </c>
      <c r="B57" s="16" t="inlineStr">
        <is>
          <t>Chance</t>
        </is>
      </c>
      <c r="C57" s="22" t="inlineStr">
        <is>
          <t>⚄</t>
        </is>
      </c>
      <c r="D57" s="16" t="inlineStr">
        <is>
          <t>UNI-28a</t>
        </is>
      </c>
      <c r="E57" s="18">
        <f>IFERROR(INDEX($B:$B,MATCH($D57,$A:$A,0)),"")</f>
        <v/>
      </c>
      <c r="F57" s="23">
        <f>IFERROR(INDEX($C:$C,MATCH($D57,$A:$A,0)),"")</f>
        <v/>
      </c>
      <c r="G57" s="24" t="inlineStr">
        <is>
          <t>random</t>
        </is>
      </c>
    </row>
  </sheetData>
  <autoFilter ref="A1:G57"/>
  <pageMargins left="0.75" right="0.75" top="1" bottom="1" header="0.5" footer="0.5"/>
</worksheet>
</file>

<file path=xl/worksheets/sheet5.xml><?xml version="1.0" encoding="utf-8"?>
<worksheet xmlns="http://schemas.openxmlformats.org/spreadsheetml/2006/main">
  <sheetPr>
    <tabColor rgb="003A7BD5"/>
    <outlinePr summaryBelow="1" summaryRight="1"/>
    <pageSetUpPr/>
  </sheetPr>
  <dimension ref="A1:J2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Water</t>
        </is>
      </c>
    </row>
    <row r="2">
      <c r="A2" s="4" t="inlineStr">
        <is>
          <t>Rule: Moves bodies (shove and Crush); works the water that is already there (wetness)</t>
        </is>
      </c>
    </row>
    <row r="3" ht="30" customHeight="1">
      <c r="A3" s="2" t="inlineStr">
        <is>
          <t>Deep dive: design/affinities/water.md  Status: Deep dive v0.  Source: existing (design/05); MODEL: wetness, from C.</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WAT-1a</t>
        </is>
      </c>
      <c r="C6" s="27">
        <f>IFERROR(INDEX('Base Runes'!$D:$D,MATCH($B6,'Base Runes'!$A:$A,0)),"")</f>
        <v/>
      </c>
      <c r="D6" s="28">
        <f>IFERROR(INDEX('Base Runes'!$E:$E,MATCH($B6,'Base Runes'!$A:$A,0)),"")</f>
        <v/>
      </c>
      <c r="E6" s="10" t="inlineStr">
        <is>
          <t>push bodies away</t>
        </is>
      </c>
      <c r="F6" s="10" t="inlineStr">
        <is>
          <t>adds a shove away from you</t>
        </is>
      </c>
      <c r="G6" s="11">
        <f>IFERROR(INDEX('Base Runes'!$G:$G,MATCH($B6,'Base Runes'!$A:$A,0)),"")</f>
        <v/>
      </c>
      <c r="H6" s="10" t="inlineStr">
        <is>
          <t>**Churn**: a whirlpool that spins bodies and holds them in place</t>
        </is>
      </c>
      <c r="I6" s="10" t="inlineStr">
        <is>
          <t>Water Bolt (starter), Breaker (starter)</t>
        </is>
      </c>
      <c r="J6" s="10" t="n"/>
    </row>
    <row r="7" ht="30" customHeight="1">
      <c r="A7" s="26" t="n">
        <v>1</v>
      </c>
      <c r="B7" s="10" t="inlineStr">
        <is>
          <t>WAT-1b</t>
        </is>
      </c>
      <c r="C7" s="27">
        <f>IFERROR(INDEX('Base Runes'!$D:$D,MATCH($B7,'Base Runes'!$A:$A,0)),"")</f>
        <v/>
      </c>
      <c r="D7" s="28">
        <f>IFERROR(INDEX('Base Runes'!$E:$E,MATCH($B7,'Base Runes'!$A:$A,0)),"")</f>
        <v/>
      </c>
      <c r="E7" s="10" t="inlineStr">
        <is>
          <t>draw bodies in</t>
        </is>
      </c>
      <c r="F7" s="10" t="inlineStr">
        <is>
          <t>adds a drag toward you</t>
        </is>
      </c>
      <c r="G7" s="11">
        <f>IFERROR(INDEX('Base Runes'!$G:$G,MATCH($B7,'Base Runes'!$A:$A,0)),"")</f>
        <v/>
      </c>
      <c r="H7" s="10" t="inlineStr">
        <is>
          <t>**Churn**: a whirlpool that spins bodies and holds them in place</t>
        </is>
      </c>
      <c r="I7" s="10" t="inlineStr">
        <is>
          <t>Undertow, Riptide Lash</t>
        </is>
      </c>
      <c r="J7" s="10" t="n"/>
    </row>
    <row r="8" ht="30" customHeight="1">
      <c r="A8" s="26" t="n">
        <v>2</v>
      </c>
      <c r="B8" s="10" t="inlineStr">
        <is>
          <t>WAT-2a</t>
        </is>
      </c>
      <c r="C8" s="27">
        <f>IFERROR(INDEX('Base Runes'!$D:$D,MATCH($B8,'Base Runes'!$A:$A,0)),"")</f>
        <v/>
      </c>
      <c r="D8" s="28">
        <f>IFERROR(INDEX('Base Runes'!$E:$E,MATCH($B8,'Base Runes'!$A:$A,0)),"")</f>
        <v/>
      </c>
      <c r="E8" s="10" t="inlineStr">
        <is>
          <t>water in motion: travel on a current, slip past</t>
        </is>
      </c>
      <c r="F8" s="10" t="inlineStr">
        <is>
          <t>it follows the ground and slides round obstacles</t>
        </is>
      </c>
      <c r="G8" s="11">
        <f>IFERROR(INDEX('Base Runes'!$G:$G,MATCH($B8,'Base Runes'!$A:$A,0)),"")</f>
        <v/>
      </c>
      <c r="H8" s="10" t="inlineStr">
        <is>
          <t>**Spring**: water wells up and keeps welling: a pool that grows</t>
        </is>
      </c>
      <c r="I8" s="10" t="inlineStr">
        <is>
          <t>Sluice Step (starter)</t>
        </is>
      </c>
      <c r="J8" s="10" t="n"/>
    </row>
    <row r="9" ht="30" customHeight="1">
      <c r="A9" s="26" t="n">
        <v>2</v>
      </c>
      <c r="B9" s="10" t="inlineStr">
        <is>
          <t>WAT-2b</t>
        </is>
      </c>
      <c r="C9" s="27">
        <f>IFERROR(INDEX('Base Runes'!$D:$D,MATCH($B9,'Base Runes'!$A:$A,0)),"")</f>
        <v/>
      </c>
      <c r="D9" s="28">
        <f>IFERROR(INDEX('Base Runes'!$E:$E,MATCH($B9,'Base Runes'!$A:$A,0)),"")</f>
        <v/>
      </c>
      <c r="E9" s="10" t="inlineStr">
        <is>
          <t>water that gathers and stays</t>
        </is>
      </c>
      <c r="F9" s="10" t="inlineStr">
        <is>
          <t>leaves standing water (Wet ground)</t>
        </is>
      </c>
      <c r="G9" s="11">
        <f>IFERROR(INDEX('Base Runes'!$G:$G,MATCH($B9,'Base Runes'!$A:$A,0)),"")</f>
        <v/>
      </c>
      <c r="H9" s="10" t="inlineStr">
        <is>
          <t>**Spring**: water wells up and keeps welling: a pool that grows</t>
        </is>
      </c>
      <c r="I9" s="10" t="inlineStr">
        <is>
          <t>Standing Pool</t>
        </is>
      </c>
      <c r="J9" s="10" t="n"/>
    </row>
    <row r="10" ht="30" customHeight="1">
      <c r="A10" s="26" t="n">
        <v>3</v>
      </c>
      <c r="B10" s="10" t="inlineStr">
        <is>
          <t>WAT-3a</t>
        </is>
      </c>
      <c r="C10" s="27">
        <f>IFERROR(INDEX('Base Runes'!$D:$D,MATCH($B10,'Base Runes'!$A:$A,0)),"")</f>
        <v/>
      </c>
      <c r="D10" s="28">
        <f>IFERROR(INDEX('Base Runes'!$E:$E,MATCH($B10,'Base Runes'!$A:$A,0)),"")</f>
        <v/>
      </c>
      <c r="E10" s="10" t="inlineStr">
        <is>
          <t>saturate a target</t>
        </is>
      </c>
      <c r="F10" s="10" t="inlineStr">
        <is>
          <t>applies Soaked</t>
        </is>
      </c>
      <c r="G10" s="11">
        <f>IFERROR(INDEX('Base Runes'!$G:$G,MATCH($B10,'Base Runes'!$A:$A,0)),"")</f>
        <v/>
      </c>
      <c r="H10" s="10" t="inlineStr">
        <is>
          <t>**Rinse**: washes every status off, good and bad</t>
        </is>
      </c>
      <c r="I10" s="10" t="n"/>
      <c r="J10" s="10" t="n"/>
    </row>
    <row r="11" ht="30" customHeight="1">
      <c r="A11" s="26" t="n">
        <v>3</v>
      </c>
      <c r="B11" s="10" t="inlineStr">
        <is>
          <t>WAT-3b</t>
        </is>
      </c>
      <c r="C11" s="27">
        <f>IFERROR(INDEX('Base Runes'!$D:$D,MATCH($B11,'Base Runes'!$A:$A,0)),"")</f>
        <v/>
      </c>
      <c r="D11" s="28">
        <f>IFERROR(INDEX('Base Runes'!$E:$E,MATCH($B11,'Base Runes'!$A:$A,0)),"")</f>
        <v/>
      </c>
      <c r="E11" s="10" t="inlineStr">
        <is>
          <t>pull the water out of a body: damage by how wet it is</t>
        </is>
      </c>
      <c r="F11" s="10" t="inlineStr">
        <is>
          <t>consumes Soaked for extra damage, leaving a pool at your feet</t>
        </is>
      </c>
      <c r="G11" s="11">
        <f>IFERROR(INDEX('Base Runes'!$G:$G,MATCH($B11,'Base Runes'!$A:$A,0)),"")</f>
        <v/>
      </c>
      <c r="H11" s="10" t="inlineStr">
        <is>
          <t>**Rinse**: washes every status off, good and bad</t>
        </is>
      </c>
      <c r="I11" s="10" t="n"/>
      <c r="J11" s="10" t="inlineStr">
        <is>
          <t>Proposed skill: Wringing Grip</t>
        </is>
      </c>
    </row>
    <row r="12" ht="30" customHeight="1">
      <c r="A12" s="26" t="n">
        <v>4</v>
      </c>
      <c r="B12" s="10" t="inlineStr">
        <is>
          <t>WAT-4a</t>
        </is>
      </c>
      <c r="C12" s="27">
        <f>IFERROR(INDEX('Base Runes'!$D:$D,MATCH($B12,'Base Runes'!$A:$A,0)),"")</f>
        <v/>
      </c>
      <c r="D12" s="28">
        <f>IFERROR(INDEX('Base Runes'!$E:$E,MATCH($B12,'Base Runes'!$A:$A,0)),"")</f>
        <v/>
      </c>
      <c r="E12" s="10" t="inlineStr">
        <is>
          <t>pressure: water hard as stone</t>
        </is>
      </c>
      <c r="F12" s="10" t="inlineStr">
        <is>
          <t>heavier: poise damage +50%, Crush damage +50%</t>
        </is>
      </c>
      <c r="G12" s="11">
        <f>IFERROR(INDEX('Base Runes'!$G:$G,MATCH($B12,'Base Runes'!$A:$A,0)),"")</f>
        <v/>
      </c>
      <c r="H12" s="10" t="inlineStr">
        <is>
          <t>**Rain**: dense vapour falls over an area, soaking everyone in it</t>
        </is>
      </c>
      <c r="I12" s="10" t="inlineStr">
        <is>
          <t>Pressure Jet</t>
        </is>
      </c>
      <c r="J12" s="10" t="n"/>
    </row>
    <row r="13" ht="30" customHeight="1">
      <c r="A13" s="26" t="n">
        <v>4</v>
      </c>
      <c r="B13" s="10" t="inlineStr">
        <is>
          <t>WAT-4b</t>
        </is>
      </c>
      <c r="C13" s="27">
        <f>IFERROR(INDEX('Base Runes'!$D:$D,MATCH($B13,'Base Runes'!$A:$A,0)),"")</f>
        <v/>
      </c>
      <c r="D13" s="28">
        <f>IFERROR(INDEX('Base Runes'!$E:$E,MATCH($B13,'Base Runes'!$A:$A,0)),"")</f>
        <v/>
      </c>
      <c r="E13" s="10" t="inlineStr">
        <is>
          <t>water as vapour: cover, broken sight lines</t>
        </is>
      </c>
      <c r="F13" s="10" t="inlineStr">
        <is>
          <t>turns to fog where it lands; smothers fire</t>
        </is>
      </c>
      <c r="G13" s="11">
        <f>IFERROR(INDEX('Base Runes'!$G:$G,MATCH($B13,'Base Runes'!$A:$A,0)),"")</f>
        <v/>
      </c>
      <c r="H13" s="10" t="inlineStr">
        <is>
          <t>**Rain**: dense vapour falls over an area, soaking everyone in it</t>
        </is>
      </c>
      <c r="I13" s="10" t="n"/>
      <c r="J13" s="10" t="inlineStr">
        <is>
          <t>Proposed skill: Fogbank</t>
        </is>
      </c>
    </row>
    <row r="14" ht="30" customHeight="1">
      <c r="A14" s="26" t="n">
        <v>5</v>
      </c>
      <c r="B14" s="10" t="inlineStr">
        <is>
          <t>WAT-5a</t>
        </is>
      </c>
      <c r="C14" s="27">
        <f>IFERROR(INDEX('Base Runes'!$D:$D,MATCH($B14,'Base Runes'!$A:$A,0)),"")</f>
        <v/>
      </c>
      <c r="D14" s="28">
        <f>IFERROR(INDEX('Base Runes'!$E:$E,MATCH($B14,'Base Runes'!$A:$A,0)),"")</f>
        <v/>
      </c>
      <c r="E14" s="10" t="inlineStr">
        <is>
          <t>make water from essence [C: materialising water]</t>
        </is>
      </c>
      <c r="F14" s="10" t="inlineStr">
        <is>
          <t>it brings its own water (cast as if Wet anywhere)</t>
        </is>
      </c>
      <c r="G14" s="11">
        <f>IFERROR(INDEX('Base Runes'!$G:$G,MATCH($B14,'Base Runes'!$A:$A,0)),"")</f>
        <v/>
      </c>
      <c r="H14" s="10" t="inlineStr">
        <is>
          <t>**Flux**: the water flickers in and out of being and passes guards and shields</t>
        </is>
      </c>
      <c r="I14" s="10" t="n"/>
      <c r="J14" s="10" t="inlineStr">
        <is>
          <t>Proposed skill: Draw Water</t>
        </is>
      </c>
    </row>
    <row r="15" ht="30" customHeight="1">
      <c r="A15" s="26" t="n">
        <v>5</v>
      </c>
      <c r="B15" s="10" t="inlineStr">
        <is>
          <t>WAT-5b</t>
        </is>
      </c>
      <c r="C15" s="27">
        <f>IFERROR(INDEX('Base Runes'!$D:$D,MATCH($B15,'Base Runes'!$A:$A,0)),"")</f>
        <v/>
      </c>
      <c r="D15" s="28">
        <f>IFERROR(INDEX('Base Runes'!$E:$E,MATCH($B15,'Base Runes'!$A:$A,0)),"")</f>
        <v/>
      </c>
      <c r="E15" s="10" t="inlineStr">
        <is>
          <t>unmake water back to ether</t>
        </is>
      </c>
      <c r="F15" s="10" t="inlineStr">
        <is>
          <t>dries what it touches; drained pools refund essence</t>
        </is>
      </c>
      <c r="G15" s="11">
        <f>IFERROR(INDEX('Base Runes'!$G:$G,MATCH($B15,'Base Runes'!$A:$A,0)),"")</f>
        <v/>
      </c>
      <c r="H15" s="10" t="inlineStr">
        <is>
          <t>**Flux**: the water flickers in and out of being and passes guards and shields</t>
        </is>
      </c>
      <c r="I15" s="10" t="n"/>
      <c r="J15" s="10" t="n"/>
    </row>
    <row r="16" ht="30" customHeight="1">
      <c r="A16" s="26" t="n">
        <v>6</v>
      </c>
      <c r="B16" s="10" t="inlineStr">
        <is>
          <t>WAT-6a</t>
        </is>
      </c>
      <c r="C16" s="27">
        <f>IFERROR(INDEX('Base Runes'!$D:$D,MATCH($B16,'Base Runes'!$A:$A,0)),"")</f>
        <v/>
      </c>
      <c r="D16" s="28">
        <f>IFERROR(INDEX('Base Runes'!$E:$E,MATCH($B16,'Base Runes'!$A:$A,0)),"")</f>
        <v/>
      </c>
      <c r="E16" s="10" t="inlineStr">
        <is>
          <t>a still surface that reflects</t>
        </is>
      </c>
      <c r="F16" s="10" t="inlineStr">
        <is>
          <t>turns shots aside; reflects one projectile</t>
        </is>
      </c>
      <c r="G16" s="11">
        <f>IFERROR(INDEX('Base Runes'!$G:$G,MATCH($B16,'Base Runes'!$A:$A,0)),"")</f>
        <v/>
      </c>
      <c r="H16" s="10" t="inlineStr">
        <is>
          <t>**Glimmer**: a reflection of you that enemies attack</t>
        </is>
      </c>
      <c r="I16" s="10" t="n"/>
      <c r="J16" s="10" t="inlineStr">
        <is>
          <t>Proposed skill: Glass Water</t>
        </is>
      </c>
    </row>
    <row r="17" ht="30" customHeight="1">
      <c r="A17" s="26" t="n">
        <v>6</v>
      </c>
      <c r="B17" s="10" t="inlineStr">
        <is>
          <t>WAT-6b</t>
        </is>
      </c>
      <c r="C17" s="27">
        <f>IFERROR(INDEX('Base Runes'!$D:$D,MATCH($B17,'Base Runes'!$A:$A,0)),"")</f>
        <v/>
      </c>
      <c r="D17" s="28">
        <f>IFERROR(INDEX('Base Runes'!$E:$E,MATCH($B17,'Base Runes'!$A:$A,0)),"")</f>
        <v/>
      </c>
      <c r="E17" s="10" t="inlineStr">
        <is>
          <t>clouded water that hides</t>
        </is>
      </c>
      <c r="F17" s="10" t="inlineStr">
        <is>
          <t>blinds what it hits for a moment</t>
        </is>
      </c>
      <c r="G17" s="11">
        <f>IFERROR(INDEX('Base Runes'!$G:$G,MATCH($B17,'Base Runes'!$A:$A,0)),"")</f>
        <v/>
      </c>
      <c r="H17" s="10" t="inlineStr">
        <is>
          <t>**Glimmer**: a reflection of you that enemies attack</t>
        </is>
      </c>
      <c r="I17" s="10" t="n"/>
      <c r="J17" s="10" t="n"/>
    </row>
    <row r="18" ht="30" customHeight="1">
      <c r="A18" s="26" t="n">
        <v>7</v>
      </c>
      <c r="B18" s="10" t="inlineStr">
        <is>
          <t>WAT-7a</t>
        </is>
      </c>
      <c r="C18" s="27">
        <f>IFERROR(INDEX('Base Runes'!$D:$D,MATCH($B18,'Base Runes'!$A:$A,0)),"")</f>
        <v/>
      </c>
      <c r="D18" s="28">
        <f>IFERROR(INDEX('Base Runes'!$E:$E,MATCH($B18,'Base Runes'!$A:$A,0)),"")</f>
        <v/>
      </c>
      <c r="E18" s="10" t="inlineStr">
        <is>
          <t>wear things down</t>
        </is>
      </c>
      <c r="F18" s="10" t="inlineStr">
        <is>
          <t>strips armour and guard a little per hit</t>
        </is>
      </c>
      <c r="G18" s="11">
        <f>IFERROR(INDEX('Base Runes'!$G:$G,MATCH($B18,'Base Runes'!$A:$A,0)),"")</f>
        <v/>
      </c>
      <c r="H18" s="10" t="inlineStr">
        <is>
          <t>**Polish**: worn smooth: the target slides, and shoves on it go twice as far</t>
        </is>
      </c>
      <c r="I18" s="10" t="n"/>
      <c r="J18" s="10" t="n"/>
    </row>
    <row r="19" ht="30" customHeight="1">
      <c r="A19" s="26" t="n">
        <v>7</v>
      </c>
      <c r="B19" s="10" t="inlineStr">
        <is>
          <t>WAT-7b</t>
        </is>
      </c>
      <c r="C19" s="27">
        <f>IFERROR(INDEX('Base Runes'!$D:$D,MATCH($B19,'Base Runes'!$A:$A,0)),"")</f>
        <v/>
      </c>
      <c r="D19" s="28">
        <f>IFERROR(INDEX('Base Runes'!$E:$E,MATCH($B19,'Base Runes'!$A:$A,0)),"")</f>
        <v/>
      </c>
      <c r="E19" s="10" t="inlineStr">
        <is>
          <t>a film of water over a body</t>
        </is>
      </c>
      <c r="F19" s="10" t="inlineStr">
        <is>
          <t>the first hit is softened; burning is put out</t>
        </is>
      </c>
      <c r="G19" s="11">
        <f>IFERROR(INDEX('Base Runes'!$G:$G,MATCH($B19,'Base Runes'!$A:$A,0)),"")</f>
        <v/>
      </c>
      <c r="H19" s="10" t="inlineStr">
        <is>
          <t>**Polish**: worn smooth: the target slides, and shoves on it go twice as far</t>
        </is>
      </c>
      <c r="I19" s="10" t="inlineStr">
        <is>
          <t>Backwash</t>
        </is>
      </c>
      <c r="J19" s="10" t="n"/>
    </row>
    <row r="20" ht="30" customHeight="1">
      <c r="A20" s="26" t="n">
        <v>8</v>
      </c>
      <c r="B20" s="10" t="inlineStr">
        <is>
          <t>WAT-8a</t>
        </is>
      </c>
      <c r="C20" s="27">
        <f>IFERROR(INDEX('Base Runes'!$D:$D,MATCH($B20,'Base Runes'!$A:$A,0)),"")</f>
        <v/>
      </c>
      <c r="D20" s="28">
        <f>IFERROR(INDEX('Base Runes'!$E:$E,MATCH($B20,'Base Runes'!$A:$A,0)),"")</f>
        <v/>
      </c>
      <c r="E20" s="10" t="inlineStr">
        <is>
          <t>water in the lungs</t>
        </is>
      </c>
      <c r="F20" s="10" t="inlineStr">
        <is>
          <t>silences: no casting, no calls for help, damage over time</t>
        </is>
      </c>
      <c r="G20" s="11">
        <f>IFERROR(INDEX('Base Runes'!$G:$G,MATCH($B20,'Base Runes'!$A:$A,0)),"")</f>
        <v/>
      </c>
      <c r="H20" s="10" t="inlineStr">
        <is>
          <t>**Depth**: pinned under: the target cannot jump, blink or be lifted</t>
        </is>
      </c>
      <c r="I20" s="10" t="n"/>
      <c r="J20" s="10" t="inlineStr">
        <is>
          <t>Proposed skill: Drowning Hold</t>
        </is>
      </c>
    </row>
    <row r="21" ht="30" customHeight="1">
      <c r="A21" s="26" t="n">
        <v>8</v>
      </c>
      <c r="B21" s="10" t="inlineStr">
        <is>
          <t>WAT-8b</t>
        </is>
      </c>
      <c r="C21" s="27">
        <f>IFERROR(INDEX('Base Runes'!$D:$D,MATCH($B21,'Base Runes'!$A:$A,0)),"")</f>
        <v/>
      </c>
      <c r="D21" s="28">
        <f>IFERROR(INDEX('Base Runes'!$E:$E,MATCH($B21,'Base Runes'!$A:$A,0)),"")</f>
        <v/>
      </c>
      <c r="E21" s="10" t="inlineStr">
        <is>
          <t>buoyancy</t>
        </is>
      </c>
      <c r="F21" s="10" t="inlineStr">
        <is>
          <t>lifts: lightens, walks on water, slows falls</t>
        </is>
      </c>
      <c r="G21" s="11">
        <f>IFERROR(INDEX('Base Runes'!$G:$G,MATCH($B21,'Base Runes'!$A:$A,0)),"")</f>
        <v/>
      </c>
      <c r="H21" s="10" t="inlineStr">
        <is>
          <t>**Depth**: pinned under: the target cannot jump, blink or be lifted</t>
        </is>
      </c>
      <c r="I21" s="10" t="n"/>
      <c r="J21" s="10" t="n"/>
    </row>
    <row r="23">
      <c r="A23"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6.xml><?xml version="1.0" encoding="utf-8"?>
<worksheet xmlns="http://schemas.openxmlformats.org/spreadsheetml/2006/main">
  <sheetPr>
    <tabColor rgb="00D9534F"/>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Fire</t>
        </is>
      </c>
    </row>
    <row r="2">
      <c r="A2" s="4" t="inlineStr">
        <is>
          <t>Rule: Runs on its own heat</t>
        </is>
      </c>
    </row>
    <row r="3" ht="30" customHeight="1">
      <c r="A3" s="2" t="inlineStr">
        <is>
          <t>Status: First pass.</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FIR-1a</t>
        </is>
      </c>
      <c r="C6" s="27">
        <f>IFERROR(INDEX('Base Runes'!$D:$D,MATCH($B6,'Base Runes'!$A:$A,0)),"")</f>
        <v/>
      </c>
      <c r="D6" s="28">
        <f>IFERROR(INDEX('Base Runes'!$E:$E,MATCH($B6,'Base Runes'!$A:$A,0)),"")</f>
        <v/>
      </c>
      <c r="E6" s="10" t="inlineStr">
        <is>
          <t>start a burn</t>
        </is>
      </c>
      <c r="F6" s="30" t="n"/>
      <c r="G6" s="11">
        <f>IFERROR(INDEX('Base Runes'!$G:$G,MATCH($B6,'Base Runes'!$A:$A,0)),"")</f>
        <v/>
      </c>
      <c r="H6" s="30" t="n"/>
      <c r="I6" s="10" t="inlineStr">
        <is>
          <t>Cinder Spit, Flashover</t>
        </is>
      </c>
      <c r="J6" s="10" t="n"/>
    </row>
    <row r="7" ht="30" customHeight="1">
      <c r="A7" s="26" t="n">
        <v>1</v>
      </c>
      <c r="B7" s="10" t="inlineStr">
        <is>
          <t>FIR-1b</t>
        </is>
      </c>
      <c r="C7" s="27">
        <f>IFERROR(INDEX('Base Runes'!$D:$D,MATCH($B7,'Base Runes'!$A:$A,0)),"")</f>
        <v/>
      </c>
      <c r="D7" s="28">
        <f>IFERROR(INDEX('Base Runes'!$E:$E,MATCH($B7,'Base Runes'!$A:$A,0)),"")</f>
        <v/>
      </c>
      <c r="E7" s="10" t="inlineStr">
        <is>
          <t>put it out, and cash the heat in</t>
        </is>
      </c>
      <c r="F7" s="30" t="n"/>
      <c r="G7" s="11">
        <f>IFERROR(INDEX('Base Runes'!$G:$G,MATCH($B7,'Base Runes'!$A:$A,0)),"")</f>
        <v/>
      </c>
      <c r="H7" s="30" t="n"/>
      <c r="I7" s="10" t="n"/>
      <c r="J7" s="10" t="n"/>
    </row>
    <row r="8" ht="30" customHeight="1">
      <c r="A8" s="26" t="n">
        <v>2</v>
      </c>
      <c r="B8" s="10" t="inlineStr">
        <is>
          <t>FIR-2a</t>
        </is>
      </c>
      <c r="C8" s="27">
        <f>IFERROR(INDEX('Base Runes'!$D:$D,MATCH($B8,'Base Runes'!$A:$A,0)),"")</f>
        <v/>
      </c>
      <c r="D8" s="28">
        <f>IFERROR(INDEX('Base Runes'!$E:$E,MATCH($B8,'Base Runes'!$A:$A,0)),"")</f>
        <v/>
      </c>
      <c r="E8" s="10" t="inlineStr">
        <is>
          <t>heat outward</t>
        </is>
      </c>
      <c r="F8" s="30" t="n"/>
      <c r="G8" s="11">
        <f>IFERROR(INDEX('Base Runes'!$G:$G,MATCH($B8,'Base Runes'!$A:$A,0)),"")</f>
        <v/>
      </c>
      <c r="H8" s="30" t="n"/>
      <c r="I8" s="10" t="inlineStr">
        <is>
          <t>Bellows Breath</t>
        </is>
      </c>
      <c r="J8" s="10" t="n"/>
    </row>
    <row r="9" ht="30" customHeight="1">
      <c r="A9" s="26" t="n">
        <v>2</v>
      </c>
      <c r="B9" s="10" t="inlineStr">
        <is>
          <t>FIR-2b</t>
        </is>
      </c>
      <c r="C9" s="27">
        <f>IFERROR(INDEX('Base Runes'!$D:$D,MATCH($B9,'Base Runes'!$A:$A,0)),"")</f>
        <v/>
      </c>
      <c r="D9" s="28">
        <f>IFERROR(INDEX('Base Runes'!$E:$E,MATCH($B9,'Base Runes'!$A:$A,0)),"")</f>
        <v/>
      </c>
      <c r="E9" s="10" t="inlineStr">
        <is>
          <t>heat drawn into you</t>
        </is>
      </c>
      <c r="F9" s="30" t="n"/>
      <c r="G9" s="11">
        <f>IFERROR(INDEX('Base Runes'!$G:$G,MATCH($B9,'Base Runes'!$A:$A,0)),"")</f>
        <v/>
      </c>
      <c r="H9" s="30" t="n"/>
      <c r="I9" s="10" t="inlineStr">
        <is>
          <t>Stoke</t>
        </is>
      </c>
      <c r="J9" s="10" t="n"/>
    </row>
    <row r="10" ht="30" customHeight="1">
      <c r="A10" s="26" t="n">
        <v>3</v>
      </c>
      <c r="B10" s="10" t="inlineStr">
        <is>
          <t>FIR-3a</t>
        </is>
      </c>
      <c r="C10" s="27">
        <f>IFERROR(INDEX('Base Runes'!$D:$D,MATCH($B10,'Base Runes'!$A:$A,0)),"")</f>
        <v/>
      </c>
      <c r="D10" s="28">
        <f>IFERROR(INDEX('Base Runes'!$E:$E,MATCH($B10,'Base Runes'!$A:$A,0)),"")</f>
        <v/>
      </c>
      <c r="E10" s="10" t="inlineStr">
        <is>
          <t>burn away</t>
        </is>
      </c>
      <c r="F10" s="30" t="n"/>
      <c r="G10" s="11">
        <f>IFERROR(INDEX('Base Runes'!$G:$G,MATCH($B10,'Base Runes'!$A:$A,0)),"")</f>
        <v/>
      </c>
      <c r="H10" s="30" t="n"/>
      <c r="I10" s="10" t="inlineStr">
        <is>
          <t>Kiln Fist, Pyre Call</t>
        </is>
      </c>
      <c r="J10" s="10" t="n"/>
    </row>
    <row r="11" ht="30" customHeight="1">
      <c r="A11" s="26" t="n">
        <v>3</v>
      </c>
      <c r="B11" s="10" t="inlineStr">
        <is>
          <t>FIR-3b</t>
        </is>
      </c>
      <c r="C11" s="27">
        <f>IFERROR(INDEX('Base Runes'!$D:$D,MATCH($B11,'Base Runes'!$A:$A,0)),"")</f>
        <v/>
      </c>
      <c r="D11" s="28">
        <f>IFERROR(INDEX('Base Runes'!$E:$E,MATCH($B11,'Base Runes'!$A:$A,0)),"")</f>
        <v/>
      </c>
      <c r="E11" s="10" t="inlineStr">
        <is>
          <t>weld, cauterise, set like glass</t>
        </is>
      </c>
      <c r="F11" s="30" t="n"/>
      <c r="G11" s="11">
        <f>IFERROR(INDEX('Base Runes'!$G:$G,MATCH($B11,'Base Runes'!$A:$A,0)),"")</f>
        <v/>
      </c>
      <c r="H11" s="30" t="n"/>
      <c r="I11" s="10" t="inlineStr">
        <is>
          <t>Slag Pool</t>
        </is>
      </c>
      <c r="J11" s="10" t="n"/>
    </row>
    <row r="12" ht="30" customHeight="1">
      <c r="A12" s="26" t="n">
        <v>4</v>
      </c>
      <c r="B12" s="10" t="inlineStr">
        <is>
          <t>FIR-4a</t>
        </is>
      </c>
      <c r="C12" s="27">
        <f>IFERROR(INDEX('Base Runes'!$D:$D,MATCH($B12,'Base Runes'!$A:$A,0)),"")</f>
        <v/>
      </c>
      <c r="D12" s="28">
        <f>IFERROR(INDEX('Base Runes'!$E:$E,MATCH($B12,'Base Runes'!$A:$A,0)),"")</f>
        <v/>
      </c>
      <c r="E12" s="10" t="inlineStr">
        <is>
          <t>blast outward</t>
        </is>
      </c>
      <c r="F12" s="30" t="n"/>
      <c r="G12" s="11">
        <f>IFERROR(INDEX('Base Runes'!$G:$G,MATCH($B12,'Base Runes'!$A:$A,0)),"")</f>
        <v/>
      </c>
      <c r="H12" s="30" t="n"/>
      <c r="I12" s="10" t="n"/>
      <c r="J12" s="10" t="n"/>
    </row>
    <row r="13" ht="30" customHeight="1">
      <c r="A13" s="26" t="n">
        <v>4</v>
      </c>
      <c r="B13" s="10" t="inlineStr">
        <is>
          <t>FIR-4b</t>
        </is>
      </c>
      <c r="C13" s="27">
        <f>IFERROR(INDEX('Base Runes'!$D:$D,MATCH($B13,'Base Runes'!$A:$A,0)),"")</f>
        <v/>
      </c>
      <c r="D13" s="28">
        <f>IFERROR(INDEX('Base Runes'!$E:$E,MATCH($B13,'Base Runes'!$A:$A,0)),"")</f>
        <v/>
      </c>
      <c r="E13" s="10" t="inlineStr">
        <is>
          <t>flame rushing inward</t>
        </is>
      </c>
      <c r="F13" s="30" t="n"/>
      <c r="G13" s="11">
        <f>IFERROR(INDEX('Base Runes'!$G:$G,MATCH($B13,'Base Runes'!$A:$A,0)),"")</f>
        <v/>
      </c>
      <c r="H13" s="30" t="n"/>
      <c r="I13" s="10" t="inlineStr">
        <is>
          <t>Backdraft</t>
        </is>
      </c>
      <c r="J13" s="10" t="n"/>
    </row>
    <row r="14" ht="30" customHeight="1">
      <c r="A14" s="26" t="n">
        <v>5</v>
      </c>
      <c r="B14" s="10" t="inlineStr">
        <is>
          <t>FIR-5a</t>
        </is>
      </c>
      <c r="C14" s="27">
        <f>IFERROR(INDEX('Base Runes'!$D:$D,MATCH($B14,'Base Runes'!$A:$A,0)),"")</f>
        <v/>
      </c>
      <c r="D14" s="28">
        <f>IFERROR(INDEX('Base Runes'!$E:$E,MATCH($B14,'Base Runes'!$A:$A,0)),"")</f>
        <v/>
      </c>
      <c r="E14" s="10" t="inlineStr">
        <is>
          <t>blinding light</t>
        </is>
      </c>
      <c r="F14" s="30" t="n"/>
      <c r="G14" s="11">
        <f>IFERROR(INDEX('Base Runes'!$G:$G,MATCH($B14,'Base Runes'!$A:$A,0)),"")</f>
        <v/>
      </c>
      <c r="H14" s="30" t="n"/>
      <c r="I14" s="10" t="n"/>
      <c r="J14" s="10" t="n"/>
    </row>
    <row r="15" ht="30" customHeight="1">
      <c r="A15" s="26" t="n">
        <v>5</v>
      </c>
      <c r="B15" s="10" t="inlineStr">
        <is>
          <t>FIR-5b</t>
        </is>
      </c>
      <c r="C15" s="27">
        <f>IFERROR(INDEX('Base Runes'!$D:$D,MATCH($B15,'Base Runes'!$A:$A,0)),"")</f>
        <v/>
      </c>
      <c r="D15" s="28">
        <f>IFERROR(INDEX('Base Runes'!$E:$E,MATCH($B15,'Base Runes'!$A:$A,0)),"")</f>
        <v/>
      </c>
      <c r="E15" s="10" t="inlineStr">
        <is>
          <t>smothering dark</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7.xml><?xml version="1.0" encoding="utf-8"?>
<worksheet xmlns="http://schemas.openxmlformats.org/spreadsheetml/2006/main">
  <sheetPr>
    <tabColor rgb="008B6B3E"/>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Earth</t>
        </is>
      </c>
    </row>
    <row r="2">
      <c r="A2" s="4" t="inlineStr">
        <is>
          <t>Rule: Builds stone that stays</t>
        </is>
      </c>
    </row>
    <row r="3" ht="30" customHeight="1">
      <c r="A3" s="2" t="inlineStr">
        <is>
          <t>Status: First pass.</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EAR-1a</t>
        </is>
      </c>
      <c r="C6" s="27">
        <f>IFERROR(INDEX('Base Runes'!$D:$D,MATCH($B6,'Base Runes'!$A:$A,0)),"")</f>
        <v/>
      </c>
      <c r="D6" s="28">
        <f>IFERROR(INDEX('Base Runes'!$E:$E,MATCH($B6,'Base Runes'!$A:$A,0)),"")</f>
        <v/>
      </c>
      <c r="E6" s="10" t="inlineStr">
        <is>
          <t>stone up</t>
        </is>
      </c>
      <c r="F6" s="30" t="n"/>
      <c r="G6" s="11">
        <f>IFERROR(INDEX('Base Runes'!$G:$G,MATCH($B6,'Base Runes'!$A:$A,0)),"")</f>
        <v/>
      </c>
      <c r="H6" s="30" t="n"/>
      <c r="I6" s="10" t="inlineStr">
        <is>
          <t>Raise Slab, Pillar</t>
        </is>
      </c>
      <c r="J6" s="10" t="n"/>
    </row>
    <row r="7" ht="30" customHeight="1">
      <c r="A7" s="26" t="n">
        <v>1</v>
      </c>
      <c r="B7" s="10" t="inlineStr">
        <is>
          <t>EAR-1b</t>
        </is>
      </c>
      <c r="C7" s="27">
        <f>IFERROR(INDEX('Base Runes'!$D:$D,MATCH($B7,'Base Runes'!$A:$A,0)),"")</f>
        <v/>
      </c>
      <c r="D7" s="28">
        <f>IFERROR(INDEX('Base Runes'!$E:$E,MATCH($B7,'Base Runes'!$A:$A,0)),"")</f>
        <v/>
      </c>
      <c r="E7" s="10" t="inlineStr">
        <is>
          <t>ground down, pits</t>
        </is>
      </c>
      <c r="F7" s="30" t="n"/>
      <c r="G7" s="11">
        <f>IFERROR(INDEX('Base Runes'!$G:$G,MATCH($B7,'Base Runes'!$A:$A,0)),"")</f>
        <v/>
      </c>
      <c r="H7" s="30" t="n"/>
      <c r="I7" s="10" t="n"/>
      <c r="J7" s="10" t="n"/>
    </row>
    <row r="8" ht="30" customHeight="1">
      <c r="A8" s="26" t="n">
        <v>2</v>
      </c>
      <c r="B8" s="10" t="inlineStr">
        <is>
          <t>EAR-2a</t>
        </is>
      </c>
      <c r="C8" s="27">
        <f>IFERROR(INDEX('Base Runes'!$D:$D,MATCH($B8,'Base Runes'!$A:$A,0)),"")</f>
        <v/>
      </c>
      <c r="D8" s="28">
        <f>IFERROR(INDEX('Base Runes'!$E:$E,MATCH($B8,'Base Runes'!$A:$A,0)),"")</f>
        <v/>
      </c>
      <c r="E8" s="10" t="inlineStr">
        <is>
          <t>solidify, armour</t>
        </is>
      </c>
      <c r="F8" s="30" t="n"/>
      <c r="G8" s="11">
        <f>IFERROR(INDEX('Base Runes'!$G:$G,MATCH($B8,'Base Runes'!$A:$A,0)),"")</f>
        <v/>
      </c>
      <c r="H8" s="30" t="n"/>
      <c r="I8" s="10" t="inlineStr">
        <is>
          <t>Stonehide</t>
        </is>
      </c>
      <c r="J8" s="10" t="n"/>
    </row>
    <row r="9" ht="30" customHeight="1">
      <c r="A9" s="26" t="n">
        <v>2</v>
      </c>
      <c r="B9" s="10" t="inlineStr">
        <is>
          <t>EAR-2b</t>
        </is>
      </c>
      <c r="C9" s="27">
        <f>IFERROR(INDEX('Base Runes'!$D:$D,MATCH($B9,'Base Runes'!$A:$A,0)),"")</f>
        <v/>
      </c>
      <c r="D9" s="28">
        <f>IFERROR(INDEX('Base Runes'!$E:$E,MATCH($B9,'Base Runes'!$A:$A,0)),"")</f>
        <v/>
      </c>
      <c r="E9" s="10" t="inlineStr">
        <is>
          <t>break stone and guard</t>
        </is>
      </c>
      <c r="F9" s="30" t="n"/>
      <c r="G9" s="11">
        <f>IFERROR(INDEX('Base Runes'!$G:$G,MATCH($B9,'Base Runes'!$A:$A,0)),"")</f>
        <v/>
      </c>
      <c r="H9" s="30" t="n"/>
      <c r="I9" s="10" t="inlineStr">
        <is>
          <t>Landslide Blow</t>
        </is>
      </c>
      <c r="J9" s="10" t="n"/>
    </row>
    <row r="10" ht="30" customHeight="1">
      <c r="A10" s="26" t="n">
        <v>3</v>
      </c>
      <c r="B10" s="10" t="inlineStr">
        <is>
          <t>EAR-3a</t>
        </is>
      </c>
      <c r="C10" s="27">
        <f>IFERROR(INDEX('Base Runes'!$D:$D,MATCH($B10,'Base Runes'!$A:$A,0)),"")</f>
        <v/>
      </c>
      <c r="D10" s="28">
        <f>IFERROR(INDEX('Base Runes'!$E:$E,MATCH($B10,'Base Runes'!$A:$A,0)),"")</f>
        <v/>
      </c>
      <c r="E10" s="10" t="inlineStr">
        <is>
          <t>anchor, stand firm</t>
        </is>
      </c>
      <c r="F10" s="30" t="n"/>
      <c r="G10" s="11">
        <f>IFERROR(INDEX('Base Runes'!$G:$G,MATCH($B10,'Base Runes'!$A:$A,0)),"")</f>
        <v/>
      </c>
      <c r="H10" s="30" t="n"/>
      <c r="I10" s="10" t="inlineStr">
        <is>
          <t>Bedrock Shove</t>
        </is>
      </c>
      <c r="J10" s="10" t="n"/>
    </row>
    <row r="11" ht="30" customHeight="1">
      <c r="A11" s="26" t="n">
        <v>3</v>
      </c>
      <c r="B11" s="10" t="inlineStr">
        <is>
          <t>EAR-3b</t>
        </is>
      </c>
      <c r="C11" s="27">
        <f>IFERROR(INDEX('Base Runes'!$D:$D,MATCH($B11,'Base Runes'!$A:$A,0)),"")</f>
        <v/>
      </c>
      <c r="D11" s="28">
        <f>IFERROR(INDEX('Base Runes'!$E:$E,MATCH($B11,'Base Runes'!$A:$A,0)),"")</f>
        <v/>
      </c>
      <c r="E11" s="10" t="inlineStr">
        <is>
          <t>shake, unbalance</t>
        </is>
      </c>
      <c r="F11" s="30" t="n"/>
      <c r="G11" s="11">
        <f>IFERROR(INDEX('Base Runes'!$G:$G,MATCH($B11,'Base Runes'!$A:$A,0)),"")</f>
        <v/>
      </c>
      <c r="H11" s="30" t="n"/>
      <c r="I11" s="10" t="inlineStr">
        <is>
          <t>Tremor</t>
        </is>
      </c>
      <c r="J11" s="10" t="n"/>
    </row>
    <row r="12" ht="30" customHeight="1">
      <c r="A12" s="26" t="n">
        <v>4</v>
      </c>
      <c r="B12" s="10" t="inlineStr">
        <is>
          <t>EAR-4a</t>
        </is>
      </c>
      <c r="C12" s="27">
        <f>IFERROR(INDEX('Base Runes'!$D:$D,MATCH($B12,'Base Runes'!$A:$A,0)),"")</f>
        <v/>
      </c>
      <c r="D12" s="28">
        <f>IFERROR(INDEX('Base Runes'!$E:$E,MATCH($B12,'Base Runes'!$A:$A,0)),"")</f>
        <v/>
      </c>
      <c r="E12" s="10" t="inlineStr">
        <is>
          <t>add mass</t>
        </is>
      </c>
      <c r="F12" s="30" t="n"/>
      <c r="G12" s="11">
        <f>IFERROR(INDEX('Base Runes'!$G:$G,MATCH($B12,'Base Runes'!$A:$A,0)),"")</f>
        <v/>
      </c>
      <c r="H12" s="30" t="n"/>
      <c r="I12" s="10" t="inlineStr">
        <is>
          <t>Slingstone</t>
        </is>
      </c>
      <c r="J12" s="10" t="n"/>
    </row>
    <row r="13" ht="30" customHeight="1">
      <c r="A13" s="26" t="n">
        <v>4</v>
      </c>
      <c r="B13" s="10" t="inlineStr">
        <is>
          <t>EAR-4b</t>
        </is>
      </c>
      <c r="C13" s="27">
        <f>IFERROR(INDEX('Base Runes'!$D:$D,MATCH($B13,'Base Runes'!$A:$A,0)),"")</f>
        <v/>
      </c>
      <c r="D13" s="28">
        <f>IFERROR(INDEX('Base Runes'!$E:$E,MATCH($B13,'Base Runes'!$A:$A,0)),"")</f>
        <v/>
      </c>
      <c r="E13" s="10" t="inlineStr">
        <is>
          <t>lighten, to lift and throw</t>
        </is>
      </c>
      <c r="F13" s="30" t="n"/>
      <c r="G13" s="11">
        <f>IFERROR(INDEX('Base Runes'!$G:$G,MATCH($B13,'Base Runes'!$A:$A,0)),"")</f>
        <v/>
      </c>
      <c r="H13" s="30" t="n"/>
      <c r="I13" s="10" t="inlineStr">
        <is>
          <t>Quarry Throw</t>
        </is>
      </c>
      <c r="J13" s="10" t="n"/>
    </row>
    <row r="14" ht="30" customHeight="1">
      <c r="A14" s="26" t="n">
        <v>5</v>
      </c>
      <c r="B14" s="10" t="inlineStr">
        <is>
          <t>EAR-5a</t>
        </is>
      </c>
      <c r="C14" s="27">
        <f>IFERROR(INDEX('Base Runes'!$D:$D,MATCH($B14,'Base Runes'!$A:$A,0)),"")</f>
        <v/>
      </c>
      <c r="D14" s="28">
        <f>IFERROR(INDEX('Base Runes'!$E:$E,MATCH($B14,'Base Runes'!$A:$A,0)),"")</f>
        <v/>
      </c>
      <c r="E14" s="10" t="inlineStr">
        <is>
          <t>sharp crystal</t>
        </is>
      </c>
      <c r="F14" s="30" t="n"/>
      <c r="G14" s="11">
        <f>IFERROR(INDEX('Base Runes'!$G:$G,MATCH($B14,'Base Runes'!$A:$A,0)),"")</f>
        <v/>
      </c>
      <c r="H14" s="30" t="n"/>
      <c r="I14" s="10" t="n"/>
      <c r="J14" s="10" t="n"/>
    </row>
    <row r="15" ht="30" customHeight="1">
      <c r="A15" s="26" t="n">
        <v>5</v>
      </c>
      <c r="B15" s="10" t="inlineStr">
        <is>
          <t>EAR-5b</t>
        </is>
      </c>
      <c r="C15" s="27">
        <f>IFERROR(INDEX('Base Runes'!$D:$D,MATCH($B15,'Base Runes'!$A:$A,0)),"")</f>
        <v/>
      </c>
      <c r="D15" s="28">
        <f>IFERROR(INDEX('Base Runes'!$E:$E,MATCH($B15,'Base Runes'!$A:$A,0)),"")</f>
        <v/>
      </c>
      <c r="E15" s="10" t="inlineStr">
        <is>
          <t>fine grit that blinds and abrades</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8.xml><?xml version="1.0" encoding="utf-8"?>
<worksheet xmlns="http://schemas.openxmlformats.org/spreadsheetml/2006/main">
  <sheetPr>
    <tabColor rgb="007FB8A4"/>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Wind</t>
        </is>
      </c>
    </row>
    <row r="2">
      <c r="A2" s="4" t="inlineStr">
        <is>
          <t>Rule: Paid for by moving (Slipstream)</t>
        </is>
      </c>
    </row>
    <row r="3" ht="30" customHeight="1">
      <c r="A3" s="2" t="inlineStr">
        <is>
          <t>Status: First pass.</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WIN-1a</t>
        </is>
      </c>
      <c r="C6" s="27">
        <f>IFERROR(INDEX('Base Runes'!$D:$D,MATCH($B6,'Base Runes'!$A:$A,0)),"")</f>
        <v/>
      </c>
      <c r="D6" s="28">
        <f>IFERROR(INDEX('Base Runes'!$E:$E,MATCH($B6,'Base Runes'!$A:$A,0)),"")</f>
        <v/>
      </c>
      <c r="E6" s="10" t="inlineStr">
        <is>
          <t>moving air</t>
        </is>
      </c>
      <c r="F6" s="30" t="n"/>
      <c r="G6" s="11">
        <f>IFERROR(INDEX('Base Runes'!$G:$G,MATCH($B6,'Base Runes'!$A:$A,0)),"")</f>
        <v/>
      </c>
      <c r="H6" s="30" t="n"/>
      <c r="I6" s="10" t="inlineStr">
        <is>
          <t>Gale Lane, Spindrift</t>
        </is>
      </c>
      <c r="J6" s="10" t="n"/>
    </row>
    <row r="7" ht="30" customHeight="1">
      <c r="A7" s="26" t="n">
        <v>1</v>
      </c>
      <c r="B7" s="10" t="inlineStr">
        <is>
          <t>WIN-1b</t>
        </is>
      </c>
      <c r="C7" s="27">
        <f>IFERROR(INDEX('Base Runes'!$D:$D,MATCH($B7,'Base Runes'!$A:$A,0)),"")</f>
        <v/>
      </c>
      <c r="D7" s="28">
        <f>IFERROR(INDEX('Base Runes'!$E:$E,MATCH($B7,'Base Runes'!$A:$A,0)),"")</f>
        <v/>
      </c>
      <c r="E7" s="10" t="inlineStr">
        <is>
          <t>dead air; shots drop</t>
        </is>
      </c>
      <c r="F7" s="30" t="n"/>
      <c r="G7" s="11">
        <f>IFERROR(INDEX('Base Runes'!$G:$G,MATCH($B7,'Base Runes'!$A:$A,0)),"")</f>
        <v/>
      </c>
      <c r="H7" s="30" t="n"/>
      <c r="I7" s="10" t="n"/>
      <c r="J7" s="10" t="n"/>
    </row>
    <row r="8" ht="30" customHeight="1">
      <c r="A8" s="26" t="n">
        <v>2</v>
      </c>
      <c r="B8" s="10" t="inlineStr">
        <is>
          <t>WIN-2a</t>
        </is>
      </c>
      <c r="C8" s="27">
        <f>IFERROR(INDEX('Base Runes'!$D:$D,MATCH($B8,'Base Runes'!$A:$A,0)),"")</f>
        <v/>
      </c>
      <c r="D8" s="28">
        <f>IFERROR(INDEX('Base Runes'!$E:$E,MATCH($B8,'Base Runes'!$A:$A,0)),"")</f>
        <v/>
      </c>
      <c r="E8" s="10" t="inlineStr">
        <is>
          <t>lift</t>
        </is>
      </c>
      <c r="F8" s="30" t="n"/>
      <c r="G8" s="11">
        <f>IFERROR(INDEX('Base Runes'!$G:$G,MATCH($B8,'Base Runes'!$A:$A,0)),"")</f>
        <v/>
      </c>
      <c r="H8" s="30" t="n"/>
      <c r="I8" s="10" t="inlineStr">
        <is>
          <t>Updraft</t>
        </is>
      </c>
      <c r="J8" s="10" t="n"/>
    </row>
    <row r="9" ht="30" customHeight="1">
      <c r="A9" s="26" t="n">
        <v>2</v>
      </c>
      <c r="B9" s="10" t="inlineStr">
        <is>
          <t>WIN-2b</t>
        </is>
      </c>
      <c r="C9" s="27">
        <f>IFERROR(INDEX('Base Runes'!$D:$D,MATCH($B9,'Base Runes'!$A:$A,0)),"")</f>
        <v/>
      </c>
      <c r="D9" s="28">
        <f>IFERROR(INDEX('Base Runes'!$E:$E,MATCH($B9,'Base Runes'!$A:$A,0)),"")</f>
        <v/>
      </c>
      <c r="E9" s="10" t="inlineStr">
        <is>
          <t>slam down</t>
        </is>
      </c>
      <c r="F9" s="30" t="n"/>
      <c r="G9" s="11">
        <f>IFERROR(INDEX('Base Runes'!$G:$G,MATCH($B9,'Base Runes'!$A:$A,0)),"")</f>
        <v/>
      </c>
      <c r="H9" s="30" t="n"/>
      <c r="I9" s="10" t="inlineStr">
        <is>
          <t>Downdraft</t>
        </is>
      </c>
      <c r="J9" s="10" t="n"/>
    </row>
    <row r="10" ht="30" customHeight="1">
      <c r="A10" s="26" t="n">
        <v>3</v>
      </c>
      <c r="B10" s="10" t="inlineStr">
        <is>
          <t>WIN-3a</t>
        </is>
      </c>
      <c r="C10" s="27">
        <f>IFERROR(INDEX('Base Runes'!$D:$D,MATCH($B10,'Base Runes'!$A:$A,0)),"")</f>
        <v/>
      </c>
      <c r="D10" s="28">
        <f>IFERROR(INDEX('Base Runes'!$E:$E,MATCH($B10,'Base Runes'!$A:$A,0)),"")</f>
        <v/>
      </c>
      <c r="E10" s="10" t="inlineStr">
        <is>
          <t>cutting air</t>
        </is>
      </c>
      <c r="F10" s="30" t="n"/>
      <c r="G10" s="11">
        <f>IFERROR(INDEX('Base Runes'!$G:$G,MATCH($B10,'Base Runes'!$A:$A,0)),"")</f>
        <v/>
      </c>
      <c r="H10" s="30" t="n"/>
      <c r="I10" s="10" t="inlineStr">
        <is>
          <t>Cutting Gust, Crosscut</t>
        </is>
      </c>
      <c r="J10" s="10" t="n"/>
    </row>
    <row r="11" ht="30" customHeight="1">
      <c r="A11" s="26" t="n">
        <v>3</v>
      </c>
      <c r="B11" s="10" t="inlineStr">
        <is>
          <t>WIN-3b</t>
        </is>
      </c>
      <c r="C11" s="27">
        <f>IFERROR(INDEX('Base Runes'!$D:$D,MATCH($B11,'Base Runes'!$A:$A,0)),"")</f>
        <v/>
      </c>
      <c r="D11" s="28">
        <f>IFERROR(INDEX('Base Runes'!$E:$E,MATCH($B11,'Base Runes'!$A:$A,0)),"")</f>
        <v/>
      </c>
      <c r="E11" s="10" t="inlineStr">
        <is>
          <t>cushioning air</t>
        </is>
      </c>
      <c r="F11" s="30" t="n"/>
      <c r="G11" s="11">
        <f>IFERROR(INDEX('Base Runes'!$G:$G,MATCH($B11,'Base Runes'!$A:$A,0)),"")</f>
        <v/>
      </c>
      <c r="H11" s="30" t="n"/>
      <c r="I11" s="10" t="inlineStr">
        <is>
          <t>Crosswind Veil</t>
        </is>
      </c>
      <c r="J11" s="10" t="n"/>
    </row>
    <row r="12" ht="30" customHeight="1">
      <c r="A12" s="26" t="n">
        <v>4</v>
      </c>
      <c r="B12" s="10" t="inlineStr">
        <is>
          <t>WIN-4a</t>
        </is>
      </c>
      <c r="C12" s="27">
        <f>IFERROR(INDEX('Base Runes'!$D:$D,MATCH($B12,'Base Runes'!$A:$A,0)),"")</f>
        <v/>
      </c>
      <c r="D12" s="28">
        <f>IFERROR(INDEX('Base Runes'!$E:$E,MATCH($B12,'Base Runes'!$A:$A,0)),"")</f>
        <v/>
      </c>
      <c r="E12" s="10" t="inlineStr">
        <is>
          <t>carried along</t>
        </is>
      </c>
      <c r="F12" s="30" t="n"/>
      <c r="G12" s="11">
        <f>IFERROR(INDEX('Base Runes'!$G:$G,MATCH($B12,'Base Runes'!$A:$A,0)),"")</f>
        <v/>
      </c>
      <c r="H12" s="30" t="n"/>
      <c r="I12" s="10" t="inlineStr">
        <is>
          <t>Tailwind</t>
        </is>
      </c>
      <c r="J12" s="10" t="n"/>
    </row>
    <row r="13" ht="30" customHeight="1">
      <c r="A13" s="26" t="n">
        <v>4</v>
      </c>
      <c r="B13" s="10" t="inlineStr">
        <is>
          <t>WIN-4b</t>
        </is>
      </c>
      <c r="C13" s="27">
        <f>IFERROR(INDEX('Base Runes'!$D:$D,MATCH($B13,'Base Runes'!$A:$A,0)),"")</f>
        <v/>
      </c>
      <c r="D13" s="28">
        <f>IFERROR(INDEX('Base Runes'!$E:$E,MATCH($B13,'Base Runes'!$A:$A,0)),"")</f>
        <v/>
      </c>
      <c r="E13" s="10" t="inlineStr">
        <is>
          <t>stalled, slipstream stolen</t>
        </is>
      </c>
      <c r="F13" s="30" t="n"/>
      <c r="G13" s="11">
        <f>IFERROR(INDEX('Base Runes'!$G:$G,MATCH($B13,'Base Runes'!$A:$A,0)),"")</f>
        <v/>
      </c>
      <c r="H13" s="30" t="n"/>
      <c r="I13" s="10" t="n"/>
      <c r="J13" s="10" t="n"/>
    </row>
    <row r="14" ht="30" customHeight="1">
      <c r="A14" s="26" t="n">
        <v>5</v>
      </c>
      <c r="B14" s="10" t="inlineStr">
        <is>
          <t>WIN-5a</t>
        </is>
      </c>
      <c r="C14" s="27">
        <f>IFERROR(INDEX('Base Runes'!$D:$D,MATCH($B14,'Base Runes'!$A:$A,0)),"")</f>
        <v/>
      </c>
      <c r="D14" s="28">
        <f>IFERROR(INDEX('Base Runes'!$E:$E,MATCH($B14,'Base Runes'!$A:$A,0)),"")</f>
        <v/>
      </c>
      <c r="E14" s="10" t="inlineStr">
        <is>
          <t>spin together</t>
        </is>
      </c>
      <c r="F14" s="30" t="n"/>
      <c r="G14" s="11">
        <f>IFERROR(INDEX('Base Runes'!$G:$G,MATCH($B14,'Base Runes'!$A:$A,0)),"")</f>
        <v/>
      </c>
      <c r="H14" s="30" t="n"/>
      <c r="I14" s="10" t="n"/>
      <c r="J14" s="10" t="n"/>
    </row>
    <row r="15" ht="30" customHeight="1">
      <c r="A15" s="26" t="n">
        <v>5</v>
      </c>
      <c r="B15" s="10" t="inlineStr">
        <is>
          <t>WIN-5b</t>
        </is>
      </c>
      <c r="C15" s="27">
        <f>IFERROR(INDEX('Base Runes'!$D:$D,MATCH($B15,'Base Runes'!$A:$A,0)),"")</f>
        <v/>
      </c>
      <c r="D15" s="28">
        <f>IFERROR(INDEX('Base Runes'!$E:$E,MATCH($B15,'Base Runes'!$A:$A,0)),"")</f>
        <v/>
      </c>
      <c r="E15" s="10" t="inlineStr">
        <is>
          <t>blow apart</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9.xml><?xml version="1.0" encoding="utf-8"?>
<worksheet xmlns="http://schemas.openxmlformats.org/spreadsheetml/2006/main">
  <sheetPr>
    <tabColor rgb="00E8C547"/>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Lightning</t>
        </is>
      </c>
    </row>
    <row r="2">
      <c r="A2" s="4" t="inlineStr">
        <is>
          <t>Rule: Marks a target, then overloads it</t>
        </is>
      </c>
    </row>
    <row r="3" ht="30" customHeight="1">
      <c r="A3" s="2" t="inlineStr">
        <is>
          <t>Status: First pass.</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LIG-1a</t>
        </is>
      </c>
      <c r="C6" s="27">
        <f>IFERROR(INDEX('Base Runes'!$D:$D,MATCH($B6,'Base Runes'!$A:$A,0)),"")</f>
        <v/>
      </c>
      <c r="D6" s="28">
        <f>IFERROR(INDEX('Base Runes'!$E:$E,MATCH($B6,'Base Runes'!$A:$A,0)),"")</f>
        <v/>
      </c>
      <c r="E6" s="10" t="inlineStr">
        <is>
          <t>build up marks</t>
        </is>
      </c>
      <c r="F6" s="30" t="n"/>
      <c r="G6" s="11">
        <f>IFERROR(INDEX('Base Runes'!$G:$G,MATCH($B6,'Base Runes'!$A:$A,0)),"")</f>
        <v/>
      </c>
      <c r="H6" s="30" t="n"/>
      <c r="I6" s="10" t="inlineStr">
        <is>
          <t>Static Coat, Stored Bolt</t>
        </is>
      </c>
      <c r="J6" s="10" t="n"/>
    </row>
    <row r="7" ht="30" customHeight="1">
      <c r="A7" s="26" t="n">
        <v>1</v>
      </c>
      <c r="B7" s="10" t="inlineStr">
        <is>
          <t>LIG-1b</t>
        </is>
      </c>
      <c r="C7" s="27">
        <f>IFERROR(INDEX('Base Runes'!$D:$D,MATCH($B7,'Base Runes'!$A:$A,0)),"")</f>
        <v/>
      </c>
      <c r="D7" s="28">
        <f>IFERROR(INDEX('Base Runes'!$E:$E,MATCH($B7,'Base Runes'!$A:$A,0)),"")</f>
        <v/>
      </c>
      <c r="E7" s="10" t="inlineStr">
        <is>
          <t>release them</t>
        </is>
      </c>
      <c r="F7" s="30" t="n"/>
      <c r="G7" s="11">
        <f>IFERROR(INDEX('Base Runes'!$G:$G,MATCH($B7,'Base Runes'!$A:$A,0)),"")</f>
        <v/>
      </c>
      <c r="H7" s="30" t="n"/>
      <c r="I7" s="10" t="inlineStr">
        <is>
          <t>Dead Short, Thunderclap Palm</t>
        </is>
      </c>
      <c r="J7" s="10" t="n"/>
    </row>
    <row r="8" ht="30" customHeight="1">
      <c r="A8" s="26" t="n">
        <v>2</v>
      </c>
      <c r="B8" s="10" t="inlineStr">
        <is>
          <t>LIG-2a</t>
        </is>
      </c>
      <c r="C8" s="27">
        <f>IFERROR(INDEX('Base Runes'!$D:$D,MATCH($B8,'Base Runes'!$A:$A,0)),"")</f>
        <v/>
      </c>
      <c r="D8" s="28">
        <f>IFERROR(INDEX('Base Runes'!$E:$E,MATCH($B8,'Base Runes'!$A:$A,0)),"")</f>
        <v/>
      </c>
      <c r="E8" s="10" t="inlineStr">
        <is>
          <t>jump between targets</t>
        </is>
      </c>
      <c r="F8" s="30" t="n"/>
      <c r="G8" s="11">
        <f>IFERROR(INDEX('Base Runes'!$G:$G,MATCH($B8,'Base Runes'!$A:$A,0)),"")</f>
        <v/>
      </c>
      <c r="H8" s="30" t="n"/>
      <c r="I8" s="10" t="inlineStr">
        <is>
          <t>Arc Lash, Forked Path</t>
        </is>
      </c>
      <c r="J8" s="10" t="n"/>
    </row>
    <row r="9" ht="30" customHeight="1">
      <c r="A9" s="26" t="n">
        <v>2</v>
      </c>
      <c r="B9" s="10" t="inlineStr">
        <is>
          <t>LIG-2b</t>
        </is>
      </c>
      <c r="C9" s="27">
        <f>IFERROR(INDEX('Base Runes'!$D:$D,MATCH($B9,'Base Runes'!$A:$A,0)),"")</f>
        <v/>
      </c>
      <c r="D9" s="28">
        <f>IFERROR(INDEX('Base Runes'!$E:$E,MATCH($B9,'Base Runes'!$A:$A,0)),"")</f>
        <v/>
      </c>
      <c r="E9" s="10" t="inlineStr">
        <is>
          <t>block a jump, isolate a target</t>
        </is>
      </c>
      <c r="F9" s="30" t="n"/>
      <c r="G9" s="11">
        <f>IFERROR(INDEX('Base Runes'!$G:$G,MATCH($B9,'Base Runes'!$A:$A,0)),"")</f>
        <v/>
      </c>
      <c r="H9" s="30" t="n"/>
      <c r="I9" s="10" t="n"/>
      <c r="J9" s="10" t="n"/>
    </row>
    <row r="10" ht="30" customHeight="1">
      <c r="A10" s="26" t="n">
        <v>3</v>
      </c>
      <c r="B10" s="10" t="inlineStr">
        <is>
          <t>LIG-3a</t>
        </is>
      </c>
      <c r="C10" s="27">
        <f>IFERROR(INDEX('Base Runes'!$D:$D,MATCH($B10,'Base Runes'!$A:$A,0)),"")</f>
        <v/>
      </c>
      <c r="D10" s="28">
        <f>IFERROR(INDEX('Base Runes'!$E:$E,MATCH($B10,'Base Runes'!$A:$A,0)),"")</f>
        <v/>
      </c>
      <c r="E10" s="10" t="inlineStr">
        <is>
          <t>a polarity</t>
        </is>
      </c>
      <c r="F10" s="30" t="n"/>
      <c r="G10" s="11">
        <f>IFERROR(INDEX('Base Runes'!$G:$G,MATCH($B10,'Base Runes'!$A:$A,0)),"")</f>
        <v/>
      </c>
      <c r="H10" s="30" t="n"/>
      <c r="I10" s="10" t="n"/>
      <c r="J10" s="10" t="n"/>
    </row>
    <row r="11" ht="30" customHeight="1">
      <c r="A11" s="26" t="n">
        <v>3</v>
      </c>
      <c r="B11" s="10" t="inlineStr">
        <is>
          <t>LIG-3b</t>
        </is>
      </c>
      <c r="C11" s="27">
        <f>IFERROR(INDEX('Base Runes'!$D:$D,MATCH($B11,'Base Runes'!$A:$A,0)),"")</f>
        <v/>
      </c>
      <c r="D11" s="28">
        <f>IFERROR(INDEX('Base Runes'!$E:$E,MATCH($B11,'Base Runes'!$A:$A,0)),"")</f>
        <v/>
      </c>
      <c r="E11" s="10" t="inlineStr">
        <is>
          <t>the other (like signs push apart, unlike pull together)</t>
        </is>
      </c>
      <c r="F11" s="30" t="n"/>
      <c r="G11" s="11">
        <f>IFERROR(INDEX('Base Runes'!$G:$G,MATCH($B11,'Base Runes'!$A:$A,0)),"")</f>
        <v/>
      </c>
      <c r="H11" s="30" t="n"/>
      <c r="I11" s="10" t="inlineStr">
        <is>
          <t>Ground Rod</t>
        </is>
      </c>
      <c r="J11" s="10" t="n"/>
    </row>
    <row r="12" ht="30" customHeight="1">
      <c r="A12" s="26" t="n">
        <v>4</v>
      </c>
      <c r="B12" s="10" t="inlineStr">
        <is>
          <t>LIG-4a</t>
        </is>
      </c>
      <c r="C12" s="27">
        <f>IFERROR(INDEX('Base Runes'!$D:$D,MATCH($B12,'Base Runes'!$A:$A,0)),"")</f>
        <v/>
      </c>
      <c r="D12" s="28">
        <f>IFERROR(INDEX('Base Runes'!$E:$E,MATCH($B12,'Base Runes'!$A:$A,0)),"")</f>
        <v/>
      </c>
      <c r="E12" s="10" t="inlineStr">
        <is>
          <t>nerves in overdrive</t>
        </is>
      </c>
      <c r="F12" s="30" t="n"/>
      <c r="G12" s="11">
        <f>IFERROR(INDEX('Base Runes'!$G:$G,MATCH($B12,'Base Runes'!$A:$A,0)),"")</f>
        <v/>
      </c>
      <c r="H12" s="30" t="n"/>
      <c r="I12" s="10" t="inlineStr">
        <is>
          <t>Stepped Leader</t>
        </is>
      </c>
      <c r="J12" s="10" t="n"/>
    </row>
    <row r="13" ht="30" customHeight="1">
      <c r="A13" s="26" t="n">
        <v>4</v>
      </c>
      <c r="B13" s="10" t="inlineStr">
        <is>
          <t>LIG-4b</t>
        </is>
      </c>
      <c r="C13" s="27">
        <f>IFERROR(INDEX('Base Runes'!$D:$D,MATCH($B13,'Base Runes'!$A:$A,0)),"")</f>
        <v/>
      </c>
      <c r="D13" s="28">
        <f>IFERROR(INDEX('Base Runes'!$E:$E,MATCH($B13,'Base Runes'!$A:$A,0)),"")</f>
        <v/>
      </c>
      <c r="E13" s="10" t="inlineStr">
        <is>
          <t>nerves locked</t>
        </is>
      </c>
      <c r="F13" s="30" t="n"/>
      <c r="G13" s="11">
        <f>IFERROR(INDEX('Base Runes'!$G:$G,MATCH($B13,'Base Runes'!$A:$A,0)),"")</f>
        <v/>
      </c>
      <c r="H13" s="30" t="n"/>
      <c r="I13" s="10" t="n"/>
      <c r="J13" s="10" t="n"/>
    </row>
    <row r="14" ht="30" customHeight="1">
      <c r="A14" s="26" t="n">
        <v>5</v>
      </c>
      <c r="B14" s="10" t="inlineStr">
        <is>
          <t>LIG-5a</t>
        </is>
      </c>
      <c r="C14" s="27">
        <f>IFERROR(INDEX('Base Runes'!$D:$D,MATCH($B14,'Base Runes'!$A:$A,0)),"")</f>
        <v/>
      </c>
      <c r="D14" s="28">
        <f>IFERROR(INDEX('Base Runes'!$E:$E,MATCH($B14,'Base Runes'!$A:$A,0)),"")</f>
        <v/>
      </c>
      <c r="E14" s="10" t="inlineStr">
        <is>
          <t>read the world through charge</t>
        </is>
      </c>
      <c r="F14" s="30" t="n"/>
      <c r="G14" s="11">
        <f>IFERROR(INDEX('Base Runes'!$G:$G,MATCH($B14,'Base Runes'!$A:$A,0)),"")</f>
        <v/>
      </c>
      <c r="H14" s="30" t="n"/>
      <c r="I14" s="10" t="n"/>
      <c r="J14" s="10" t="n"/>
    </row>
    <row r="15" ht="30" customHeight="1">
      <c r="A15" s="26" t="n">
        <v>5</v>
      </c>
      <c r="B15" s="10" t="inlineStr">
        <is>
          <t>LIG-5b</t>
        </is>
      </c>
      <c r="C15" s="27">
        <f>IFERROR(INDEX('Base Runes'!$D:$D,MATCH($B15,'Base Runes'!$A:$A,0)),"")</f>
        <v/>
      </c>
      <c r="D15" s="28">
        <f>IFERROR(INDEX('Base Runes'!$E:$E,MATCH($B15,'Base Runes'!$A:$A,0)),"")</f>
        <v/>
      </c>
      <c r="E15" s="10" t="inlineStr">
        <is>
          <t>scramble casts and calls for help</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10.xml><?xml version="1.0" encoding="utf-8"?>
<worksheet xmlns="http://schemas.openxmlformats.org/spreadsheetml/2006/main">
  <sheetPr>
    <tabColor rgb="00A8D8EA"/>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Ice</t>
        </is>
      </c>
    </row>
    <row r="2">
      <c r="A2" s="4" t="inlineStr">
        <is>
          <t>Rule: What it freezes stays frozen</t>
        </is>
      </c>
    </row>
    <row r="3" ht="30" customHeight="1">
      <c r="A3" s="2" t="inlineStr">
        <is>
          <t>Cold builds up on a target until it locks solid; frozen things turn brittle and break.  Status: First pass (new 2026-10-22).  Source: B 2026-10-21: ice is its own affinity, taking water's Freeze; MODEL: the rule.</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ICE-1a</t>
        </is>
      </c>
      <c r="C6" s="27">
        <f>IFERROR(INDEX('Base Runes'!$D:$D,MATCH($B6,'Base Runes'!$A:$A,0)),"")</f>
        <v/>
      </c>
      <c r="D6" s="31">
        <f>IFERROR(INDEX('Base Runes'!$E:$E,MATCH($B6,'Base Runes'!$A:$A,0)),"")</f>
        <v/>
      </c>
      <c r="E6" s="10" t="inlineStr">
        <is>
          <t>lock solid</t>
        </is>
      </c>
      <c r="F6" s="30" t="n"/>
      <c r="G6" s="11">
        <f>IFERROR(INDEX('Base Runes'!$G:$G,MATCH($B6,'Base Runes'!$A:$A,0)),"")</f>
        <v/>
      </c>
      <c r="H6" s="30" t="n"/>
      <c r="I6" s="10" t="n"/>
      <c r="J6" s="10" t="n"/>
    </row>
    <row r="7" ht="30" customHeight="1">
      <c r="A7" s="26" t="n">
        <v>1</v>
      </c>
      <c r="B7" s="10" t="inlineStr">
        <is>
          <t>ICE-1b</t>
        </is>
      </c>
      <c r="C7" s="27">
        <f>IFERROR(INDEX('Base Runes'!$D:$D,MATCH($B7,'Base Runes'!$A:$A,0)),"")</f>
        <v/>
      </c>
      <c r="D7" s="31">
        <f>IFERROR(INDEX('Base Runes'!$E:$E,MATCH($B7,'Base Runes'!$A:$A,0)),"")</f>
        <v/>
      </c>
      <c r="E7" s="10" t="inlineStr">
        <is>
          <t>release, melt free</t>
        </is>
      </c>
      <c r="F7" s="30" t="n"/>
      <c r="G7" s="11">
        <f>IFERROR(INDEX('Base Runes'!$G:$G,MATCH($B7,'Base Runes'!$A:$A,0)),"")</f>
        <v/>
      </c>
      <c r="H7" s="30" t="n"/>
      <c r="I7" s="10" t="n"/>
      <c r="J7" s="10" t="n"/>
    </row>
    <row r="8" ht="30" customHeight="1">
      <c r="A8" s="26" t="n">
        <v>2</v>
      </c>
      <c r="B8" s="10" t="inlineStr">
        <is>
          <t>ICE-2a</t>
        </is>
      </c>
      <c r="C8" s="27">
        <f>IFERROR(INDEX('Base Runes'!$D:$D,MATCH($B8,'Base Runes'!$A:$A,0)),"")</f>
        <v/>
      </c>
      <c r="D8" s="31">
        <f>IFERROR(INDEX('Base Runes'!$E:$E,MATCH($B8,'Base Runes'!$A:$A,0)),"")</f>
        <v/>
      </c>
      <c r="E8" s="10" t="inlineStr">
        <is>
          <t>build ice (walls, armour, spikes)</t>
        </is>
      </c>
      <c r="F8" s="30" t="n"/>
      <c r="G8" s="11">
        <f>IFERROR(INDEX('Base Runes'!$G:$G,MATCH($B8,'Base Runes'!$A:$A,0)),"")</f>
        <v/>
      </c>
      <c r="H8" s="30" t="n"/>
      <c r="I8" s="10" t="n"/>
      <c r="J8" s="10" t="n"/>
    </row>
    <row r="9" ht="30" customHeight="1">
      <c r="A9" s="26" t="n">
        <v>2</v>
      </c>
      <c r="B9" s="10" t="inlineStr">
        <is>
          <t>ICE-2b</t>
        </is>
      </c>
      <c r="C9" s="27">
        <f>IFERROR(INDEX('Base Runes'!$D:$D,MATCH($B9,'Base Runes'!$A:$A,0)),"")</f>
        <v/>
      </c>
      <c r="D9" s="31">
        <f>IFERROR(INDEX('Base Runes'!$E:$E,MATCH($B9,'Base Runes'!$A:$A,0)),"")</f>
        <v/>
      </c>
      <c r="E9" s="10" t="inlineStr">
        <is>
          <t>break ice; brittle things burst</t>
        </is>
      </c>
      <c r="F9" s="30" t="n"/>
      <c r="G9" s="11">
        <f>IFERROR(INDEX('Base Runes'!$G:$G,MATCH($B9,'Base Runes'!$A:$A,0)),"")</f>
        <v/>
      </c>
      <c r="H9" s="30" t="n"/>
      <c r="I9" s="10" t="n"/>
      <c r="J9" s="10" t="n"/>
    </row>
    <row r="10" ht="30" customHeight="1">
      <c r="A10" s="26" t="n">
        <v>3</v>
      </c>
      <c r="B10" s="10" t="inlineStr">
        <is>
          <t>ICE-3a</t>
        </is>
      </c>
      <c r="C10" s="27">
        <f>IFERROR(INDEX('Base Runes'!$D:$D,MATCH($B10,'Base Runes'!$A:$A,0)),"")</f>
        <v/>
      </c>
      <c r="D10" s="31">
        <f>IFERROR(INDEX('Base Runes'!$E:$E,MATCH($B10,'Base Runes'!$A:$A,0)),"")</f>
        <v/>
      </c>
      <c r="E10" s="10" t="inlineStr">
        <is>
          <t>creeping cold on the ground that grips and slows</t>
        </is>
      </c>
      <c r="F10" s="30" t="n"/>
      <c r="G10" s="11">
        <f>IFERROR(INDEX('Base Runes'!$G:$G,MATCH($B10,'Base Runes'!$A:$A,0)),"")</f>
        <v/>
      </c>
      <c r="H10" s="30" t="n"/>
      <c r="I10" s="10" t="n"/>
      <c r="J10" s="10" t="n"/>
    </row>
    <row r="11" ht="30" customHeight="1">
      <c r="A11" s="26" t="n">
        <v>3</v>
      </c>
      <c r="B11" s="10" t="inlineStr">
        <is>
          <t>ICE-3b</t>
        </is>
      </c>
      <c r="C11" s="27">
        <f>IFERROR(INDEX('Base Runes'!$D:$D,MATCH($B11,'Base Runes'!$A:$A,0)),"")</f>
        <v/>
      </c>
      <c r="D11" s="31">
        <f>IFERROR(INDEX('Base Runes'!$E:$E,MATCH($B11,'Base Runes'!$A:$A,0)),"")</f>
        <v/>
      </c>
      <c r="E11" s="10" t="inlineStr">
        <is>
          <t>glazed ice that slides; fast and slippery</t>
        </is>
      </c>
      <c r="F11" s="30" t="n"/>
      <c r="G11" s="11">
        <f>IFERROR(INDEX('Base Runes'!$G:$G,MATCH($B11,'Base Runes'!$A:$A,0)),"")</f>
        <v/>
      </c>
      <c r="H11" s="30" t="n"/>
      <c r="I11" s="10" t="n"/>
      <c r="J11" s="10" t="n"/>
    </row>
    <row r="12" ht="30" customHeight="1">
      <c r="A12" s="26" t="n">
        <v>4</v>
      </c>
      <c r="B12" s="10" t="inlineStr">
        <is>
          <t>ICE-4a</t>
        </is>
      </c>
      <c r="C12" s="27">
        <f>IFERROR(INDEX('Base Runes'!$D:$D,MATCH($B12,'Base Runes'!$A:$A,0)),"")</f>
        <v/>
      </c>
      <c r="D12" s="31">
        <f>IFERROR(INDEX('Base Runes'!$E:$E,MATCH($B12,'Base Runes'!$A:$A,0)),"")</f>
        <v/>
      </c>
      <c r="E12" s="10" t="inlineStr">
        <is>
          <t>make a thing fragile</t>
        </is>
      </c>
      <c r="F12" s="30" t="n"/>
      <c r="G12" s="11">
        <f>IFERROR(INDEX('Base Runes'!$G:$G,MATCH($B12,'Base Runes'!$A:$A,0)),"")</f>
        <v/>
      </c>
      <c r="H12" s="30" t="n"/>
      <c r="I12" s="10" t="n"/>
      <c r="J12" s="10" t="n"/>
    </row>
    <row r="13" ht="30" customHeight="1">
      <c r="A13" s="26" t="n">
        <v>4</v>
      </c>
      <c r="B13" s="10" t="inlineStr">
        <is>
          <t>ICE-4b</t>
        </is>
      </c>
      <c r="C13" s="27">
        <f>IFERROR(INDEX('Base Runes'!$D:$D,MATCH($B13,'Base Runes'!$A:$A,0)),"")</f>
        <v/>
      </c>
      <c r="D13" s="31">
        <f>IFERROR(INDEX('Base Runes'!$E:$E,MATCH($B13,'Base Runes'!$A:$A,0)),"")</f>
        <v/>
      </c>
      <c r="E13" s="10" t="inlineStr">
        <is>
          <t>cold-harden it</t>
        </is>
      </c>
      <c r="F13" s="30" t="n"/>
      <c r="G13" s="11">
        <f>IFERROR(INDEX('Base Runes'!$G:$G,MATCH($B13,'Base Runes'!$A:$A,0)),"")</f>
        <v/>
      </c>
      <c r="H13" s="30" t="n"/>
      <c r="I13" s="10" t="n"/>
      <c r="J13" s="10" t="n"/>
    </row>
    <row r="14" ht="30" customHeight="1">
      <c r="A14" s="26" t="n">
        <v>5</v>
      </c>
      <c r="B14" s="10" t="inlineStr">
        <is>
          <t>ICE-5a</t>
        </is>
      </c>
      <c r="C14" s="27">
        <f>IFERROR(INDEX('Base Runes'!$D:$D,MATCH($B14,'Base Runes'!$A:$A,0)),"")</f>
        <v/>
      </c>
      <c r="D14" s="31">
        <f>IFERROR(INDEX('Base Runes'!$E:$E,MATCH($B14,'Base Runes'!$A:$A,0)),"")</f>
        <v/>
      </c>
      <c r="E14" s="10" t="inlineStr">
        <is>
          <t>deep cold that halts everything</t>
        </is>
      </c>
      <c r="F14" s="30" t="n"/>
      <c r="G14" s="11">
        <f>IFERROR(INDEX('Base Runes'!$G:$G,MATCH($B14,'Base Runes'!$A:$A,0)),"")</f>
        <v/>
      </c>
      <c r="H14" s="30" t="n"/>
      <c r="I14" s="10" t="n"/>
      <c r="J14" s="10" t="n"/>
    </row>
    <row r="15" ht="30" customHeight="1">
      <c r="A15" s="26" t="n">
        <v>5</v>
      </c>
      <c r="B15" s="10" t="inlineStr">
        <is>
          <t>ICE-5b</t>
        </is>
      </c>
      <c r="C15" s="27">
        <f>IFERROR(INDEX('Base Runes'!$D:$D,MATCH($B15,'Base Runes'!$A:$A,0)),"")</f>
        <v/>
      </c>
      <c r="D15" s="31">
        <f>IFERROR(INDEX('Base Runes'!$E:$E,MATCH($B15,'Base Runes'!$A:$A,0)),"")</f>
        <v/>
      </c>
      <c r="E15" s="10" t="inlineStr">
        <is>
          <t>cold that burns</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11.xml><?xml version="1.0" encoding="utf-8"?>
<worksheet xmlns="http://schemas.openxmlformats.org/spreadsheetml/2006/main">
  <sheetPr>
    <tabColor rgb="003B3355"/>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Dark</t>
        </is>
      </c>
    </row>
    <row r="2">
      <c r="A2" s="4" t="inlineStr">
        <is>
          <t>Rule: Strongest where the light is weakest</t>
        </is>
      </c>
    </row>
    <row r="3" ht="30" customHeight="1">
      <c r="A3" s="2" t="inlineStr">
        <is>
          <t>Shadows are places it can use: it hides in them, moves through them and feeds on light.  Status: First pass (new 2026-10-22).  Source: B 2026-10-21: dark is an affinity; MODEL: the rule.</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DRK-1a</t>
        </is>
      </c>
      <c r="C6" s="27">
        <f>IFERROR(INDEX('Base Runes'!$D:$D,MATCH($B6,'Base Runes'!$A:$A,0)),"")</f>
        <v/>
      </c>
      <c r="D6" s="31">
        <f>IFERROR(INDEX('Base Runes'!$E:$E,MATCH($B6,'Base Runes'!$A:$A,0)),"")</f>
        <v/>
      </c>
      <c r="E6" s="10" t="inlineStr">
        <is>
          <t>make it darker</t>
        </is>
      </c>
      <c r="F6" s="30" t="n"/>
      <c r="G6" s="11">
        <f>IFERROR(INDEX('Base Runes'!$G:$G,MATCH($B6,'Base Runes'!$A:$A,0)),"")</f>
        <v/>
      </c>
      <c r="H6" s="30" t="n"/>
      <c r="I6" s="10" t="n"/>
      <c r="J6" s="10" t="n"/>
    </row>
    <row r="7" ht="30" customHeight="1">
      <c r="A7" s="26" t="n">
        <v>1</v>
      </c>
      <c r="B7" s="10" t="inlineStr">
        <is>
          <t>DRK-1b</t>
        </is>
      </c>
      <c r="C7" s="27">
        <f>IFERROR(INDEX('Base Runes'!$D:$D,MATCH($B7,'Base Runes'!$A:$A,0)),"")</f>
        <v/>
      </c>
      <c r="D7" s="31">
        <f>IFERROR(INDEX('Base Runes'!$E:$E,MATCH($B7,'Base Runes'!$A:$A,0)),"")</f>
        <v/>
      </c>
      <c r="E7" s="10" t="inlineStr">
        <is>
          <t>let the light back in</t>
        </is>
      </c>
      <c r="F7" s="30" t="n"/>
      <c r="G7" s="11">
        <f>IFERROR(INDEX('Base Runes'!$G:$G,MATCH($B7,'Base Runes'!$A:$A,0)),"")</f>
        <v/>
      </c>
      <c r="H7" s="30" t="n"/>
      <c r="I7" s="10" t="n"/>
      <c r="J7" s="10" t="n"/>
    </row>
    <row r="8" ht="30" customHeight="1">
      <c r="A8" s="26" t="n">
        <v>2</v>
      </c>
      <c r="B8" s="10" t="inlineStr">
        <is>
          <t>DRK-2a</t>
        </is>
      </c>
      <c r="C8" s="27">
        <f>IFERROR(INDEX('Base Runes'!$D:$D,MATCH($B8,'Base Runes'!$A:$A,0)),"")</f>
        <v/>
      </c>
      <c r="D8" s="31">
        <f>IFERROR(INDEX('Base Runes'!$E:$E,MATCH($B8,'Base Runes'!$A:$A,0)),"")</f>
        <v/>
      </c>
      <c r="E8" s="10" t="inlineStr">
        <is>
          <t>hide in the dark</t>
        </is>
      </c>
      <c r="F8" s="30" t="n"/>
      <c r="G8" s="11">
        <f>IFERROR(INDEX('Base Runes'!$G:$G,MATCH($B8,'Base Runes'!$A:$A,0)),"")</f>
        <v/>
      </c>
      <c r="H8" s="30" t="n"/>
      <c r="I8" s="10" t="n"/>
      <c r="J8" s="10" t="n"/>
    </row>
    <row r="9" ht="30" customHeight="1">
      <c r="A9" s="26" t="n">
        <v>2</v>
      </c>
      <c r="B9" s="10" t="inlineStr">
        <is>
          <t>DRK-2b</t>
        </is>
      </c>
      <c r="C9" s="27">
        <f>IFERROR(INDEX('Base Runes'!$D:$D,MATCH($B9,'Base Runes'!$A:$A,0)),"")</f>
        <v/>
      </c>
      <c r="D9" s="31">
        <f>IFERROR(INDEX('Base Runes'!$E:$E,MATCH($B9,'Base Runes'!$A:$A,0)),"")</f>
        <v/>
      </c>
      <c r="E9" s="10" t="inlineStr">
        <is>
          <t>make a target stand out against it</t>
        </is>
      </c>
      <c r="F9" s="30" t="n"/>
      <c r="G9" s="11">
        <f>IFERROR(INDEX('Base Runes'!$G:$G,MATCH($B9,'Base Runes'!$A:$A,0)),"")</f>
        <v/>
      </c>
      <c r="H9" s="30" t="n"/>
      <c r="I9" s="10" t="n"/>
      <c r="J9" s="10" t="n"/>
    </row>
    <row r="10" ht="30" customHeight="1">
      <c r="A10" s="26" t="n">
        <v>3</v>
      </c>
      <c r="B10" s="10" t="inlineStr">
        <is>
          <t>DRK-3a</t>
        </is>
      </c>
      <c r="C10" s="27">
        <f>IFERROR(INDEX('Base Runes'!$D:$D,MATCH($B10,'Base Runes'!$A:$A,0)),"")</f>
        <v/>
      </c>
      <c r="D10" s="31">
        <f>IFERROR(INDEX('Base Runes'!$E:$E,MATCH($B10,'Base Runes'!$A:$A,0)),"")</f>
        <v/>
      </c>
      <c r="E10" s="10" t="inlineStr">
        <is>
          <t>move through shadows</t>
        </is>
      </c>
      <c r="F10" s="30" t="n"/>
      <c r="G10" s="11">
        <f>IFERROR(INDEX('Base Runes'!$G:$G,MATCH($B10,'Base Runes'!$A:$A,0)),"")</f>
        <v/>
      </c>
      <c r="H10" s="30" t="n"/>
      <c r="I10" s="10" t="n"/>
      <c r="J10" s="10" t="n"/>
    </row>
    <row r="11" ht="30" customHeight="1">
      <c r="A11" s="26" t="n">
        <v>3</v>
      </c>
      <c r="B11" s="10" t="inlineStr">
        <is>
          <t>DRK-3b</t>
        </is>
      </c>
      <c r="C11" s="27">
        <f>IFERROR(INDEX('Base Runes'!$D:$D,MATCH($B11,'Base Runes'!$A:$A,0)),"")</f>
        <v/>
      </c>
      <c r="D11" s="31">
        <f>IFERROR(INDEX('Base Runes'!$E:$E,MATCH($B11,'Base Runes'!$A:$A,0)),"")</f>
        <v/>
      </c>
      <c r="E11" s="10" t="inlineStr">
        <is>
          <t>nail a target's shadow, and the target with it</t>
        </is>
      </c>
      <c r="F11" s="30" t="n"/>
      <c r="G11" s="11">
        <f>IFERROR(INDEX('Base Runes'!$G:$G,MATCH($B11,'Base Runes'!$A:$A,0)),"")</f>
        <v/>
      </c>
      <c r="H11" s="30" t="n"/>
      <c r="I11" s="10" t="n"/>
      <c r="J11" s="10" t="n"/>
    </row>
    <row r="12" ht="30" customHeight="1">
      <c r="A12" s="26" t="n">
        <v>4</v>
      </c>
      <c r="B12" s="10" t="inlineStr">
        <is>
          <t>DRK-4a</t>
        </is>
      </c>
      <c r="C12" s="27">
        <f>IFERROR(INDEX('Base Runes'!$D:$D,MATCH($B12,'Base Runes'!$A:$A,0)),"")</f>
        <v/>
      </c>
      <c r="D12" s="31">
        <f>IFERROR(INDEX('Base Runes'!$E:$E,MATCH($B12,'Base Runes'!$A:$A,0)),"")</f>
        <v/>
      </c>
      <c r="E12" s="10" t="inlineStr">
        <is>
          <t>swallow light and energy</t>
        </is>
      </c>
      <c r="F12" s="30" t="n"/>
      <c r="G12" s="11">
        <f>IFERROR(INDEX('Base Runes'!$G:$G,MATCH($B12,'Base Runes'!$A:$A,0)),"")</f>
        <v/>
      </c>
      <c r="H12" s="30" t="n"/>
      <c r="I12" s="10" t="n"/>
      <c r="J12" s="10" t="n"/>
    </row>
    <row r="13" ht="30" customHeight="1">
      <c r="A13" s="26" t="n">
        <v>4</v>
      </c>
      <c r="B13" s="10" t="inlineStr">
        <is>
          <t>DRK-4b</t>
        </is>
      </c>
      <c r="C13" s="27">
        <f>IFERROR(INDEX('Base Runes'!$D:$D,MATCH($B13,'Base Runes'!$A:$A,0)),"")</f>
        <v/>
      </c>
      <c r="D13" s="31">
        <f>IFERROR(INDEX('Base Runes'!$E:$E,MATCH($B13,'Base Runes'!$A:$A,0)),"")</f>
        <v/>
      </c>
      <c r="E13" s="10" t="inlineStr">
        <is>
          <t>release what was swallowed</t>
        </is>
      </c>
      <c r="F13" s="30" t="n"/>
      <c r="G13" s="11">
        <f>IFERROR(INDEX('Base Runes'!$G:$G,MATCH($B13,'Base Runes'!$A:$A,0)),"")</f>
        <v/>
      </c>
      <c r="H13" s="30" t="n"/>
      <c r="I13" s="10" t="n"/>
      <c r="J13" s="10" t="n"/>
    </row>
    <row r="14" ht="30" customHeight="1">
      <c r="A14" s="26" t="n">
        <v>5</v>
      </c>
      <c r="B14" s="10" t="inlineStr">
        <is>
          <t>DRK-5a</t>
        </is>
      </c>
      <c r="C14" s="27">
        <f>IFERROR(INDEX('Base Runes'!$D:$D,MATCH($B14,'Base Runes'!$A:$A,0)),"")</f>
        <v/>
      </c>
      <c r="D14" s="31">
        <f>IFERROR(INDEX('Base Runes'!$E:$E,MATCH($B14,'Base Runes'!$A:$A,0)),"")</f>
        <v/>
      </c>
      <c r="E14" s="10" t="inlineStr">
        <is>
          <t>fear of the dark</t>
        </is>
      </c>
      <c r="F14" s="30" t="n"/>
      <c r="G14" s="11">
        <f>IFERROR(INDEX('Base Runes'!$G:$G,MATCH($B14,'Base Runes'!$A:$A,0)),"")</f>
        <v/>
      </c>
      <c r="H14" s="30" t="n"/>
      <c r="I14" s="10" t="n"/>
      <c r="J14" s="10" t="n"/>
    </row>
    <row r="15" ht="30" customHeight="1">
      <c r="A15" s="26" t="n">
        <v>5</v>
      </c>
      <c r="B15" s="10" t="inlineStr">
        <is>
          <t>DRK-5b</t>
        </is>
      </c>
      <c r="C15" s="27">
        <f>IFERROR(INDEX('Base Runes'!$D:$D,MATCH($B15,'Base Runes'!$A:$A,0)),"")</f>
        <v/>
      </c>
      <c r="D15" s="31">
        <f>IFERROR(INDEX('Base Runes'!$E:$E,MATCH($B15,'Base Runes'!$A:$A,0)),"")</f>
        <v/>
      </c>
      <c r="E15" s="10" t="inlineStr">
        <is>
          <t>the dark as rest and quiet</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12.xml><?xml version="1.0" encoding="utf-8"?>
<worksheet xmlns="http://schemas.openxmlformats.org/spreadsheetml/2006/main">
  <sheetPr>
    <tabColor rgb="008C9399"/>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Metal</t>
        </is>
      </c>
    </row>
    <row r="2">
      <c r="A2" s="4" t="inlineStr">
        <is>
          <t>Rule: Worn and carried metal is its material</t>
        </is>
      </c>
    </row>
    <row r="3" ht="30" customHeight="1">
      <c r="A3" s="2" t="inlineStr">
        <is>
          <t>Armoured enemies are a liability against metal: their own gear can be pulled, rung or stripped.  Status: First pass.  Source: MODEL.</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MET-1a</t>
        </is>
      </c>
      <c r="C6" s="27">
        <f>IFERROR(INDEX('Base Runes'!$D:$D,MATCH($B6,'Base Runes'!$A:$A,0)),"")</f>
        <v/>
      </c>
      <c r="D6" s="31">
        <f>IFERROR(INDEX('Base Runes'!$E:$E,MATCH($B6,'Base Runes'!$A:$A,0)),"")</f>
        <v/>
      </c>
      <c r="E6" s="10" t="inlineStr">
        <is>
          <t>shape and harden metal</t>
        </is>
      </c>
      <c r="F6" s="30" t="n"/>
      <c r="G6" s="11">
        <f>IFERROR(INDEX('Base Runes'!$G:$G,MATCH($B6,'Base Runes'!$A:$A,0)),"")</f>
        <v/>
      </c>
      <c r="H6" s="30" t="n"/>
      <c r="I6" s="10" t="n"/>
      <c r="J6" s="10" t="n"/>
    </row>
    <row r="7" ht="30" customHeight="1">
      <c r="A7" s="26" t="n">
        <v>1</v>
      </c>
      <c r="B7" s="10" t="inlineStr">
        <is>
          <t>MET-1b</t>
        </is>
      </c>
      <c r="C7" s="27">
        <f>IFERROR(INDEX('Base Runes'!$D:$D,MATCH($B7,'Base Runes'!$A:$A,0)),"")</f>
        <v/>
      </c>
      <c r="D7" s="31">
        <f>IFERROR(INDEX('Base Runes'!$E:$E,MATCH($B7,'Base Runes'!$A:$A,0)),"")</f>
        <v/>
      </c>
      <c r="E7" s="10" t="inlineStr">
        <is>
          <t>corrode it</t>
        </is>
      </c>
      <c r="F7" s="30" t="n"/>
      <c r="G7" s="11">
        <f>IFERROR(INDEX('Base Runes'!$G:$G,MATCH($B7,'Base Runes'!$A:$A,0)),"")</f>
        <v/>
      </c>
      <c r="H7" s="30" t="n"/>
      <c r="I7" s="10" t="n"/>
      <c r="J7" s="10" t="n"/>
    </row>
    <row r="8" ht="30" customHeight="1">
      <c r="A8" s="26" t="n">
        <v>2</v>
      </c>
      <c r="B8" s="10" t="inlineStr">
        <is>
          <t>MET-2a</t>
        </is>
      </c>
      <c r="C8" s="27">
        <f>IFERROR(INDEX('Base Runes'!$D:$D,MATCH($B8,'Base Runes'!$A:$A,0)),"")</f>
        <v/>
      </c>
      <c r="D8" s="31">
        <f>IFERROR(INDEX('Base Runes'!$E:$E,MATCH($B8,'Base Runes'!$A:$A,0)),"")</f>
        <v/>
      </c>
      <c r="E8" s="10" t="inlineStr">
        <is>
          <t>pull metal, and whoever wears it</t>
        </is>
      </c>
      <c r="F8" s="30" t="n"/>
      <c r="G8" s="11">
        <f>IFERROR(INDEX('Base Runes'!$G:$G,MATCH($B8,'Base Runes'!$A:$A,0)),"")</f>
        <v/>
      </c>
      <c r="H8" s="30" t="n"/>
      <c r="I8" s="10" t="n"/>
      <c r="J8" s="10" t="n"/>
    </row>
    <row r="9" ht="30" customHeight="1">
      <c r="A9" s="26" t="n">
        <v>2</v>
      </c>
      <c r="B9" s="10" t="inlineStr">
        <is>
          <t>MET-2b</t>
        </is>
      </c>
      <c r="C9" s="27">
        <f>IFERROR(INDEX('Base Runes'!$D:$D,MATCH($B9,'Base Runes'!$A:$A,0)),"")</f>
        <v/>
      </c>
      <c r="D9" s="31">
        <f>IFERROR(INDEX('Base Runes'!$E:$E,MATCH($B9,'Base Runes'!$A:$A,0)),"")</f>
        <v/>
      </c>
      <c r="E9" s="10" t="inlineStr">
        <is>
          <t>push metal, and its wearer, away</t>
        </is>
      </c>
      <c r="F9" s="30" t="n"/>
      <c r="G9" s="11">
        <f>IFERROR(INDEX('Base Runes'!$G:$G,MATCH($B9,'Base Runes'!$A:$A,0)),"")</f>
        <v/>
      </c>
      <c r="H9" s="30" t="n"/>
      <c r="I9" s="10" t="n"/>
      <c r="J9" s="10" t="n"/>
    </row>
    <row r="10" ht="30" customHeight="1">
      <c r="A10" s="26" t="n">
        <v>3</v>
      </c>
      <c r="B10" s="10" t="inlineStr">
        <is>
          <t>MET-3a</t>
        </is>
      </c>
      <c r="C10" s="27">
        <f>IFERROR(INDEX('Base Runes'!$D:$D,MATCH($B10,'Base Runes'!$A:$A,0)),"")</f>
        <v/>
      </c>
      <c r="D10" s="31">
        <f>IFERROR(INDEX('Base Runes'!$E:$E,MATCH($B10,'Base Runes'!$A:$A,0)),"")</f>
        <v/>
      </c>
      <c r="E10" s="10" t="inlineStr">
        <is>
          <t>sharpen</t>
        </is>
      </c>
      <c r="F10" s="30" t="n"/>
      <c r="G10" s="11">
        <f>IFERROR(INDEX('Base Runes'!$G:$G,MATCH($B10,'Base Runes'!$A:$A,0)),"")</f>
        <v/>
      </c>
      <c r="H10" s="30" t="n"/>
      <c r="I10" s="10" t="n"/>
      <c r="J10" s="10" t="n"/>
    </row>
    <row r="11" ht="30" customHeight="1">
      <c r="A11" s="26" t="n">
        <v>3</v>
      </c>
      <c r="B11" s="10" t="inlineStr">
        <is>
          <t>MET-3b</t>
        </is>
      </c>
      <c r="C11" s="27">
        <f>IFERROR(INDEX('Base Runes'!$D:$D,MATCH($B11,'Base Runes'!$A:$A,0)),"")</f>
        <v/>
      </c>
      <c r="D11" s="31">
        <f>IFERROR(INDEX('Base Runes'!$E:$E,MATCH($B11,'Base Runes'!$A:$A,0)),"")</f>
        <v/>
      </c>
      <c r="E11" s="10" t="inlineStr">
        <is>
          <t>blunt edges, theirs included</t>
        </is>
      </c>
      <c r="F11" s="30" t="n"/>
      <c r="G11" s="11">
        <f>IFERROR(INDEX('Base Runes'!$G:$G,MATCH($B11,'Base Runes'!$A:$A,0)),"")</f>
        <v/>
      </c>
      <c r="H11" s="30" t="n"/>
      <c r="I11" s="10" t="n"/>
      <c r="J11" s="10" t="n"/>
    </row>
    <row r="12" ht="30" customHeight="1">
      <c r="A12" s="26" t="n">
        <v>4</v>
      </c>
      <c r="B12" s="10" t="inlineStr">
        <is>
          <t>MET-4a</t>
        </is>
      </c>
      <c r="C12" s="27">
        <f>IFERROR(INDEX('Base Runes'!$D:$D,MATCH($B12,'Base Runes'!$A:$A,0)),"")</f>
        <v/>
      </c>
      <c r="D12" s="31">
        <f>IFERROR(INDEX('Base Runes'!$E:$E,MATCH($B12,'Base Runes'!$A:$A,0)),"")</f>
        <v/>
      </c>
      <c r="E12" s="10" t="inlineStr">
        <is>
          <t>armour up</t>
        </is>
      </c>
      <c r="F12" s="30" t="n"/>
      <c r="G12" s="11">
        <f>IFERROR(INDEX('Base Runes'!$G:$G,MATCH($B12,'Base Runes'!$A:$A,0)),"")</f>
        <v/>
      </c>
      <c r="H12" s="30" t="n"/>
      <c r="I12" s="10" t="n"/>
      <c r="J12" s="10" t="n"/>
    </row>
    <row r="13" ht="30" customHeight="1">
      <c r="A13" s="26" t="n">
        <v>4</v>
      </c>
      <c r="B13" s="10" t="inlineStr">
        <is>
          <t>MET-4b</t>
        </is>
      </c>
      <c r="C13" s="27">
        <f>IFERROR(INDEX('Base Runes'!$D:$D,MATCH($B13,'Base Runes'!$A:$A,0)),"")</f>
        <v/>
      </c>
      <c r="D13" s="31">
        <f>IFERROR(INDEX('Base Runes'!$E:$E,MATCH($B13,'Base Runes'!$A:$A,0)),"")</f>
        <v/>
      </c>
      <c r="E13" s="10" t="inlineStr">
        <is>
          <t>tear armour off</t>
        </is>
      </c>
      <c r="F13" s="30" t="n"/>
      <c r="G13" s="11">
        <f>IFERROR(INDEX('Base Runes'!$G:$G,MATCH($B13,'Base Runes'!$A:$A,0)),"")</f>
        <v/>
      </c>
      <c r="H13" s="30" t="n"/>
      <c r="I13" s="10" t="n"/>
      <c r="J13" s="10" t="n"/>
    </row>
    <row r="14" ht="30" customHeight="1">
      <c r="A14" s="26" t="n">
        <v>5</v>
      </c>
      <c r="B14" s="10" t="inlineStr">
        <is>
          <t>MET-5a</t>
        </is>
      </c>
      <c r="C14" s="27">
        <f>IFERROR(INDEX('Base Runes'!$D:$D,MATCH($B14,'Base Runes'!$A:$A,0)),"")</f>
        <v/>
      </c>
      <c r="D14" s="31">
        <f>IFERROR(INDEX('Base Runes'!$E:$E,MATCH($B14,'Base Runes'!$A:$A,0)),"")</f>
        <v/>
      </c>
      <c r="E14" s="10" t="inlineStr">
        <is>
          <t>metal resonates; the ringing stuns</t>
        </is>
      </c>
      <c r="F14" s="30" t="n"/>
      <c r="G14" s="11">
        <f>IFERROR(INDEX('Base Runes'!$G:$G,MATCH($B14,'Base Runes'!$A:$A,0)),"")</f>
        <v/>
      </c>
      <c r="H14" s="30" t="n"/>
      <c r="I14" s="10" t="n"/>
      <c r="J14" s="10" t="n"/>
    </row>
    <row r="15" ht="30" customHeight="1">
      <c r="A15" s="26" t="n">
        <v>5</v>
      </c>
      <c r="B15" s="10" t="inlineStr">
        <is>
          <t>MET-5b</t>
        </is>
      </c>
      <c r="C15" s="27">
        <f>IFERROR(INDEX('Base Runes'!$D:$D,MATCH($B15,'Base Runes'!$A:$A,0)),"")</f>
        <v/>
      </c>
      <c r="D15" s="31">
        <f>IFERROR(INDEX('Base Runes'!$E:$E,MATCH($B15,'Base Runes'!$A:$A,0)),"")</f>
        <v/>
      </c>
      <c r="E15" s="10" t="inlineStr">
        <is>
          <t>silence and damp it</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13.xml><?xml version="1.0" encoding="utf-8"?>
<worksheet xmlns="http://schemas.openxmlformats.org/spreadsheetml/2006/main">
  <sheetPr>
    <tabColor rgb="008B1E2D"/>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Blood</t>
        </is>
      </c>
    </row>
    <row r="2">
      <c r="A2" s="4" t="inlineStr">
        <is>
          <t>Rule: Works the blood that is already out</t>
        </is>
      </c>
    </row>
    <row r="3" ht="30" customHeight="1">
      <c r="A3" s="2" t="inlineStr">
        <is>
          <t>[B 2026-10-21] Blood does not pay in health. First-pass rule, to be settled in its deep dive: the wounds you open spill blood, and blood skills work that spilled and stored blood, like water working the water that is there.  Status: First pass.  Source: C: blood storage and blood-to-metal techniques exist; MODEL: the rule.</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BLD-1a</t>
        </is>
      </c>
      <c r="C6" s="27">
        <f>IFERROR(INDEX('Base Runes'!$D:$D,MATCH($B6,'Base Runes'!$A:$A,0)),"")</f>
        <v/>
      </c>
      <c r="D6" s="31">
        <f>IFERROR(INDEX('Base Runes'!$E:$E,MATCH($B6,'Base Runes'!$A:$A,0)),"")</f>
        <v/>
      </c>
      <c r="E6" s="10" t="inlineStr">
        <is>
          <t>open wounds</t>
        </is>
      </c>
      <c r="F6" s="30" t="n"/>
      <c r="G6" s="11">
        <f>IFERROR(INDEX('Base Runes'!$G:$G,MATCH($B6,'Base Runes'!$A:$A,0)),"")</f>
        <v/>
      </c>
      <c r="H6" s="30" t="n"/>
      <c r="I6" s="10" t="n"/>
      <c r="J6" s="10" t="n"/>
    </row>
    <row r="7" ht="30" customHeight="1">
      <c r="A7" s="26" t="n">
        <v>1</v>
      </c>
      <c r="B7" s="10" t="inlineStr">
        <is>
          <t>BLD-1b</t>
        </is>
      </c>
      <c r="C7" s="27">
        <f>IFERROR(INDEX('Base Runes'!$D:$D,MATCH($B7,'Base Runes'!$A:$A,0)),"")</f>
        <v/>
      </c>
      <c r="D7" s="31">
        <f>IFERROR(INDEX('Base Runes'!$E:$E,MATCH($B7,'Base Runes'!$A:$A,0)),"")</f>
        <v/>
      </c>
      <c r="E7" s="10" t="inlineStr">
        <is>
          <t>close them</t>
        </is>
      </c>
      <c r="F7" s="30" t="n"/>
      <c r="G7" s="11">
        <f>IFERROR(INDEX('Base Runes'!$G:$G,MATCH($B7,'Base Runes'!$A:$A,0)),"")</f>
        <v/>
      </c>
      <c r="H7" s="30" t="n"/>
      <c r="I7" s="10" t="n"/>
      <c r="J7" s="10" t="n"/>
    </row>
    <row r="8" ht="30" customHeight="1">
      <c r="A8" s="26" t="n">
        <v>2</v>
      </c>
      <c r="B8" s="10" t="inlineStr">
        <is>
          <t>BLD-2a</t>
        </is>
      </c>
      <c r="C8" s="27">
        <f>IFERROR(INDEX('Base Runes'!$D:$D,MATCH($B8,'Base Runes'!$A:$A,0)),"")</f>
        <v/>
      </c>
      <c r="D8" s="31">
        <f>IFERROR(INDEX('Base Runes'!$E:$E,MATCH($B8,'Base Runes'!$A:$A,0)),"")</f>
        <v/>
      </c>
      <c r="E8" s="10" t="inlineStr">
        <is>
          <t>take blood in</t>
        </is>
      </c>
      <c r="F8" s="30" t="n"/>
      <c r="G8" s="11">
        <f>IFERROR(INDEX('Base Runes'!$G:$G,MATCH($B8,'Base Runes'!$A:$A,0)),"")</f>
        <v/>
      </c>
      <c r="H8" s="30" t="n"/>
      <c r="I8" s="10" t="n"/>
      <c r="J8" s="10" t="n"/>
    </row>
    <row r="9" ht="30" customHeight="1">
      <c r="A9" s="26" t="n">
        <v>2</v>
      </c>
      <c r="B9" s="10" t="inlineStr">
        <is>
          <t>BLD-2b</t>
        </is>
      </c>
      <c r="C9" s="27">
        <f>IFERROR(INDEX('Base Runes'!$D:$D,MATCH($B9,'Base Runes'!$A:$A,0)),"")</f>
        <v/>
      </c>
      <c r="D9" s="31">
        <f>IFERROR(INDEX('Base Runes'!$E:$E,MATCH($B9,'Base Runes'!$A:$A,0)),"")</f>
        <v/>
      </c>
      <c r="E9" s="10" t="inlineStr">
        <is>
          <t>give it out, as a weapon or a gift</t>
        </is>
      </c>
      <c r="F9" s="30" t="n"/>
      <c r="G9" s="11">
        <f>IFERROR(INDEX('Base Runes'!$G:$G,MATCH($B9,'Base Runes'!$A:$A,0)),"")</f>
        <v/>
      </c>
      <c r="H9" s="30" t="n"/>
      <c r="I9" s="10" t="n"/>
      <c r="J9" s="10" t="n"/>
    </row>
    <row r="10" ht="30" customHeight="1">
      <c r="A10" s="26" t="n">
        <v>3</v>
      </c>
      <c r="B10" s="10" t="inlineStr">
        <is>
          <t>BLD-3a</t>
        </is>
      </c>
      <c r="C10" s="27">
        <f>IFERROR(INDEX('Base Runes'!$D:$D,MATCH($B10,'Base Runes'!$A:$A,0)),"")</f>
        <v/>
      </c>
      <c r="D10" s="31">
        <f>IFERROR(INDEX('Base Runes'!$E:$E,MATCH($B10,'Base Runes'!$A:$A,0)),"")</f>
        <v/>
      </c>
      <c r="E10" s="10" t="inlineStr">
        <is>
          <t>clot it hard: blood armour, blood blades</t>
        </is>
      </c>
      <c r="F10" s="30" t="n"/>
      <c r="G10" s="11">
        <f>IFERROR(INDEX('Base Runes'!$G:$G,MATCH($B10,'Base Runes'!$A:$A,0)),"")</f>
        <v/>
      </c>
      <c r="H10" s="30" t="n"/>
      <c r="I10" s="10" t="n"/>
      <c r="J10" s="10" t="n"/>
    </row>
    <row r="11" ht="30" customHeight="1">
      <c r="A11" s="26" t="n">
        <v>3</v>
      </c>
      <c r="B11" s="10" t="inlineStr">
        <is>
          <t>BLD-3b</t>
        </is>
      </c>
      <c r="C11" s="27">
        <f>IFERROR(INDEX('Base Runes'!$D:$D,MATCH($B11,'Base Runes'!$A:$A,0)),"")</f>
        <v/>
      </c>
      <c r="D11" s="31">
        <f>IFERROR(INDEX('Base Runes'!$E:$E,MATCH($B11,'Base Runes'!$A:$A,0)),"")</f>
        <v/>
      </c>
      <c r="E11" s="10" t="inlineStr">
        <is>
          <t>quick-flowing; speed, reach</t>
        </is>
      </c>
      <c r="F11" s="30" t="n"/>
      <c r="G11" s="11">
        <f>IFERROR(INDEX('Base Runes'!$G:$G,MATCH($B11,'Base Runes'!$A:$A,0)),"")</f>
        <v/>
      </c>
      <c r="H11" s="30" t="n"/>
      <c r="I11" s="10" t="n"/>
      <c r="J11" s="10" t="n"/>
    </row>
    <row r="12" ht="30" customHeight="1">
      <c r="A12" s="26" t="n">
        <v>4</v>
      </c>
      <c r="B12" s="10" t="inlineStr">
        <is>
          <t>BLD-4a</t>
        </is>
      </c>
      <c r="C12" s="27">
        <f>IFERROR(INDEX('Base Runes'!$D:$D,MATCH($B12,'Base Runes'!$A:$A,0)),"")</f>
        <v/>
      </c>
      <c r="D12" s="31">
        <f>IFERROR(INDEX('Base Runes'!$E:$E,MATCH($B12,'Base Runes'!$A:$A,0)),"")</f>
        <v/>
      </c>
      <c r="E12" s="10" t="inlineStr">
        <is>
          <t>the heart pounds</t>
        </is>
      </c>
      <c r="F12" s="30" t="n"/>
      <c r="G12" s="11">
        <f>IFERROR(INDEX('Base Runes'!$G:$G,MATCH($B12,'Base Runes'!$A:$A,0)),"")</f>
        <v/>
      </c>
      <c r="H12" s="30" t="n"/>
      <c r="I12" s="10" t="n"/>
      <c r="J12" s="10" t="n"/>
    </row>
    <row r="13" ht="30" customHeight="1">
      <c r="A13" s="26" t="n">
        <v>4</v>
      </c>
      <c r="B13" s="10" t="inlineStr">
        <is>
          <t>BLD-4b</t>
        </is>
      </c>
      <c r="C13" s="27">
        <f>IFERROR(INDEX('Base Runes'!$D:$D,MATCH($B13,'Base Runes'!$A:$A,0)),"")</f>
        <v/>
      </c>
      <c r="D13" s="31">
        <f>IFERROR(INDEX('Base Runes'!$E:$E,MATCH($B13,'Base Runes'!$A:$A,0)),"")</f>
        <v/>
      </c>
      <c r="E13" s="10" t="inlineStr">
        <is>
          <t>the heart slows</t>
        </is>
      </c>
      <c r="F13" s="30" t="n"/>
      <c r="G13" s="11">
        <f>IFERROR(INDEX('Base Runes'!$G:$G,MATCH($B13,'Base Runes'!$A:$A,0)),"")</f>
        <v/>
      </c>
      <c r="H13" s="30" t="n"/>
      <c r="I13" s="10" t="n"/>
      <c r="J13" s="10" t="n"/>
    </row>
    <row r="14" ht="30" customHeight="1">
      <c r="A14" s="26" t="n">
        <v>5</v>
      </c>
      <c r="B14" s="10" t="inlineStr">
        <is>
          <t>BLD-5a</t>
        </is>
      </c>
      <c r="C14" s="27">
        <f>IFERROR(INDEX('Base Runes'!$D:$D,MATCH($B14,'Base Runes'!$A:$A,0)),"")</f>
        <v/>
      </c>
      <c r="D14" s="31">
        <f>IFERROR(INDEX('Base Runes'!$E:$E,MATCH($B14,'Base Runes'!$A:$A,0)),"")</f>
        <v/>
      </c>
      <c r="E14" s="10" t="inlineStr">
        <is>
          <t>a blood mark that links you to a target</t>
        </is>
      </c>
      <c r="F14" s="30" t="n"/>
      <c r="G14" s="11">
        <f>IFERROR(INDEX('Base Runes'!$G:$G,MATCH($B14,'Base Runes'!$A:$A,0)),"")</f>
        <v/>
      </c>
      <c r="H14" s="30" t="n"/>
      <c r="I14" s="10" t="n"/>
      <c r="J14" s="10" t="n"/>
    </row>
    <row r="15" ht="30" customHeight="1">
      <c r="A15" s="26" t="n">
        <v>5</v>
      </c>
      <c r="B15" s="10" t="inlineStr">
        <is>
          <t>BLD-5b</t>
        </is>
      </c>
      <c r="C15" s="27">
        <f>IFERROR(INDEX('Base Runes'!$D:$D,MATCH($B15,'Base Runes'!$A:$A,0)),"")</f>
        <v/>
      </c>
      <c r="D15" s="31">
        <f>IFERROR(INDEX('Base Runes'!$E:$E,MATCH($B15,'Base Runes'!$A:$A,0)),"")</f>
        <v/>
      </c>
      <c r="E15" s="10" t="inlineStr">
        <is>
          <t>break every blood link</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14.xml><?xml version="1.0" encoding="utf-8"?>
<worksheet xmlns="http://schemas.openxmlformats.org/spreadsheetml/2006/main">
  <sheetPr>
    <tabColor rgb="006BBF59"/>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Life</t>
        </is>
      </c>
    </row>
    <row r="2">
      <c r="A2" s="4" t="inlineStr">
        <is>
          <t>Rule: Works inside living bodies</t>
        </is>
      </c>
    </row>
    <row r="3" ht="30" customHeight="1">
      <c r="A3" s="2" t="inlineStr">
        <is>
          <t>Strongest on the living; does nothing to stone, constructs or the dead.  Status: First pass.  Source: C: life practitioners work inside a body, with consent; MODEL: the rule.</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LIF-1a</t>
        </is>
      </c>
      <c r="C6" s="27">
        <f>IFERROR(INDEX('Base Runes'!$D:$D,MATCH($B6,'Base Runes'!$A:$A,0)),"")</f>
        <v/>
      </c>
      <c r="D6" s="31">
        <f>IFERROR(INDEX('Base Runes'!$E:$E,MATCH($B6,'Base Runes'!$A:$A,0)),"")</f>
        <v/>
      </c>
      <c r="E6" s="10" t="inlineStr">
        <is>
          <t>heal</t>
        </is>
      </c>
      <c r="F6" s="30" t="n"/>
      <c r="G6" s="11">
        <f>IFERROR(INDEX('Base Runes'!$G:$G,MATCH($B6,'Base Runes'!$A:$A,0)),"")</f>
        <v/>
      </c>
      <c r="H6" s="30" t="n"/>
      <c r="I6" s="10" t="n"/>
      <c r="J6" s="10" t="n"/>
    </row>
    <row r="7" ht="30" customHeight="1">
      <c r="A7" s="26" t="n">
        <v>1</v>
      </c>
      <c r="B7" s="10" t="inlineStr">
        <is>
          <t>LIF-1b</t>
        </is>
      </c>
      <c r="C7" s="27">
        <f>IFERROR(INDEX('Base Runes'!$D:$D,MATCH($B7,'Base Runes'!$A:$A,0)),"")</f>
        <v/>
      </c>
      <c r="D7" s="31">
        <f>IFERROR(INDEX('Base Runes'!$E:$E,MATCH($B7,'Base Runes'!$A:$A,0)),"")</f>
        <v/>
      </c>
      <c r="E7" s="10" t="inlineStr">
        <is>
          <t>harm from within</t>
        </is>
      </c>
      <c r="F7" s="30" t="n"/>
      <c r="G7" s="11">
        <f>IFERROR(INDEX('Base Runes'!$G:$G,MATCH($B7,'Base Runes'!$A:$A,0)),"")</f>
        <v/>
      </c>
      <c r="H7" s="30" t="n"/>
      <c r="I7" s="10" t="n"/>
      <c r="J7" s="10" t="n"/>
    </row>
    <row r="8" ht="30" customHeight="1">
      <c r="A8" s="26" t="n">
        <v>2</v>
      </c>
      <c r="B8" s="10" t="inlineStr">
        <is>
          <t>LIF-2a</t>
        </is>
      </c>
      <c r="C8" s="27">
        <f>IFERROR(INDEX('Base Runes'!$D:$D,MATCH($B8,'Base Runes'!$A:$A,0)),"")</f>
        <v/>
      </c>
      <c r="D8" s="31">
        <f>IFERROR(INDEX('Base Runes'!$E:$E,MATCH($B8,'Base Runes'!$A:$A,0)),"")</f>
        <v/>
      </c>
      <c r="E8" s="10" t="inlineStr">
        <is>
          <t>grow muscle and body</t>
        </is>
      </c>
      <c r="F8" s="30" t="n"/>
      <c r="G8" s="11">
        <f>IFERROR(INDEX('Base Runes'!$G:$G,MATCH($B8,'Base Runes'!$A:$A,0)),"")</f>
        <v/>
      </c>
      <c r="H8" s="30" t="n"/>
      <c r="I8" s="10" t="n"/>
      <c r="J8" s="10" t="n"/>
    </row>
    <row r="9" ht="30" customHeight="1">
      <c r="A9" s="26" t="n">
        <v>2</v>
      </c>
      <c r="B9" s="10" t="inlineStr">
        <is>
          <t>LIF-2b</t>
        </is>
      </c>
      <c r="C9" s="27">
        <f>IFERROR(INDEX('Base Runes'!$D:$D,MATCH($B9,'Base Runes'!$A:$A,0)),"")</f>
        <v/>
      </c>
      <c r="D9" s="31">
        <f>IFERROR(INDEX('Base Runes'!$E:$E,MATCH($B9,'Base Runes'!$A:$A,0)),"")</f>
        <v/>
      </c>
      <c r="E9" s="10" t="inlineStr">
        <is>
          <t>wither it away</t>
        </is>
      </c>
      <c r="F9" s="30" t="n"/>
      <c r="G9" s="11">
        <f>IFERROR(INDEX('Base Runes'!$G:$G,MATCH($B9,'Base Runes'!$A:$A,0)),"")</f>
        <v/>
      </c>
      <c r="H9" s="30" t="n"/>
      <c r="I9" s="10" t="n"/>
      <c r="J9" s="10" t="n"/>
    </row>
    <row r="10" ht="30" customHeight="1">
      <c r="A10" s="26" t="n">
        <v>3</v>
      </c>
      <c r="B10" s="10" t="inlineStr">
        <is>
          <t>LIF-3a</t>
        </is>
      </c>
      <c r="C10" s="27">
        <f>IFERROR(INDEX('Base Runes'!$D:$D,MATCH($B10,'Base Runes'!$A:$A,0)),"")</f>
        <v/>
      </c>
      <c r="D10" s="31">
        <f>IFERROR(INDEX('Base Runes'!$E:$E,MATCH($B10,'Base Runes'!$A:$A,0)),"")</f>
        <v/>
      </c>
      <c r="E10" s="10" t="inlineStr">
        <is>
          <t>stamina, energy</t>
        </is>
      </c>
      <c r="F10" s="30" t="n"/>
      <c r="G10" s="11">
        <f>IFERROR(INDEX('Base Runes'!$G:$G,MATCH($B10,'Base Runes'!$A:$A,0)),"")</f>
        <v/>
      </c>
      <c r="H10" s="30" t="n"/>
      <c r="I10" s="10" t="n"/>
      <c r="J10" s="10" t="n"/>
    </row>
    <row r="11" ht="30" customHeight="1">
      <c r="A11" s="26" t="n">
        <v>3</v>
      </c>
      <c r="B11" s="10" t="inlineStr">
        <is>
          <t>LIF-3b</t>
        </is>
      </c>
      <c r="C11" s="27">
        <f>IFERROR(INDEX('Base Runes'!$D:$D,MATCH($B11,'Base Runes'!$A:$A,0)),"")</f>
        <v/>
      </c>
      <c r="D11" s="31">
        <f>IFERROR(INDEX('Base Runes'!$E:$E,MATCH($B11,'Base Runes'!$A:$A,0)),"")</f>
        <v/>
      </c>
      <c r="E11" s="10" t="inlineStr">
        <is>
          <t>fatigue</t>
        </is>
      </c>
      <c r="F11" s="30" t="n"/>
      <c r="G11" s="11">
        <f>IFERROR(INDEX('Base Runes'!$G:$G,MATCH($B11,'Base Runes'!$A:$A,0)),"")</f>
        <v/>
      </c>
      <c r="H11" s="30" t="n"/>
      <c r="I11" s="10" t="n"/>
      <c r="J11" s="10" t="n"/>
    </row>
    <row r="12" ht="30" customHeight="1">
      <c r="A12" s="26" t="n">
        <v>4</v>
      </c>
      <c r="B12" s="10" t="inlineStr">
        <is>
          <t>LIF-4a</t>
        </is>
      </c>
      <c r="C12" s="27">
        <f>IFERROR(INDEX('Base Runes'!$D:$D,MATCH($B12,'Base Runes'!$A:$A,0)),"")</f>
        <v/>
      </c>
      <c r="D12" s="31">
        <f>IFERROR(INDEX('Base Runes'!$E:$E,MATCH($B12,'Base Runes'!$A:$A,0)),"")</f>
        <v/>
      </c>
      <c r="E12" s="10" t="inlineStr">
        <is>
          <t>restore what was lost, limbs included</t>
        </is>
      </c>
      <c r="F12" s="30" t="n"/>
      <c r="G12" s="11">
        <f>IFERROR(INDEX('Base Runes'!$G:$G,MATCH($B12,'Base Runes'!$A:$A,0)),"")</f>
        <v/>
      </c>
      <c r="H12" s="30" t="n"/>
      <c r="I12" s="10" t="n"/>
      <c r="J12" s="10" t="n"/>
    </row>
    <row r="13" ht="30" customHeight="1">
      <c r="A13" s="26" t="n">
        <v>4</v>
      </c>
      <c r="B13" s="10" t="inlineStr">
        <is>
          <t>LIF-4b</t>
        </is>
      </c>
      <c r="C13" s="27">
        <f>IFERROR(INDEX('Base Runes'!$D:$D,MATCH($B13,'Base Runes'!$A:$A,0)),"")</f>
        <v/>
      </c>
      <c r="D13" s="31">
        <f>IFERROR(INDEX('Base Runes'!$E:$E,MATCH($B13,'Base Runes'!$A:$A,0)),"")</f>
        <v/>
      </c>
      <c r="E13" s="10" t="inlineStr">
        <is>
          <t>stop healing</t>
        </is>
      </c>
      <c r="F13" s="30" t="n"/>
      <c r="G13" s="11">
        <f>IFERROR(INDEX('Base Runes'!$G:$G,MATCH($B13,'Base Runes'!$A:$A,0)),"")</f>
        <v/>
      </c>
      <c r="H13" s="30" t="n"/>
      <c r="I13" s="10" t="n"/>
      <c r="J13" s="10" t="n"/>
    </row>
    <row r="14" ht="30" customHeight="1">
      <c r="A14" s="26" t="n">
        <v>5</v>
      </c>
      <c r="B14" s="10" t="inlineStr">
        <is>
          <t>LIF-5a</t>
        </is>
      </c>
      <c r="C14" s="27">
        <f>IFERROR(INDEX('Base Runes'!$D:$D,MATCH($B14,'Base Runes'!$A:$A,0)),"")</f>
        <v/>
      </c>
      <c r="D14" s="31">
        <f>IFERROR(INDEX('Base Runes'!$E:$E,MATCH($B14,'Base Runes'!$A:$A,0)),"")</f>
        <v/>
      </c>
      <c r="E14" s="10" t="inlineStr">
        <is>
          <t>heighten the senses</t>
        </is>
      </c>
      <c r="F14" s="30" t="n"/>
      <c r="G14" s="11">
        <f>IFERROR(INDEX('Base Runes'!$G:$G,MATCH($B14,'Base Runes'!$A:$A,0)),"")</f>
        <v/>
      </c>
      <c r="H14" s="30" t="n"/>
      <c r="I14" s="10" t="n"/>
      <c r="J14" s="10" t="n"/>
    </row>
    <row r="15" ht="30" customHeight="1">
      <c r="A15" s="26" t="n">
        <v>5</v>
      </c>
      <c r="B15" s="10" t="inlineStr">
        <is>
          <t>LIF-5b</t>
        </is>
      </c>
      <c r="C15" s="27">
        <f>IFERROR(INDEX('Base Runes'!$D:$D,MATCH($B15,'Base Runes'!$A:$A,0)),"")</f>
        <v/>
      </c>
      <c r="D15" s="31">
        <f>IFERROR(INDEX('Base Runes'!$E:$E,MATCH($B15,'Base Runes'!$A:$A,0)),"")</f>
        <v/>
      </c>
      <c r="E15" s="10" t="inlineStr">
        <is>
          <t>dull pain and feeling</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15.xml><?xml version="1.0" encoding="utf-8"?>
<worksheet xmlns="http://schemas.openxmlformats.org/spreadsheetml/2006/main">
  <sheetPr>
    <tabColor rgb="004A4A4A"/>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Death</t>
        </is>
      </c>
    </row>
    <row r="2">
      <c r="A2" s="4" t="inlineStr">
        <is>
          <t>Rule: What has died stays useful</t>
        </is>
      </c>
    </row>
    <row r="3" ht="30" customHeight="1">
      <c r="A3" s="2" t="inlineStr">
        <is>
          <t>Corpses are its material, and anything below half health is its prey.  Status: First pass.  Source: C: death affinity and undeath exist; MODEL: the rule.</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DTH-1a</t>
        </is>
      </c>
      <c r="C6" s="27">
        <f>IFERROR(INDEX('Base Runes'!$D:$D,MATCH($B6,'Base Runes'!$A:$A,0)),"")</f>
        <v/>
      </c>
      <c r="D6" s="31">
        <f>IFERROR(INDEX('Base Runes'!$E:$E,MATCH($B6,'Base Runes'!$A:$A,0)),"")</f>
        <v/>
      </c>
      <c r="E6" s="10" t="inlineStr">
        <is>
          <t>finish the dying</t>
        </is>
      </c>
      <c r="F6" s="30" t="n"/>
      <c r="G6" s="11">
        <f>IFERROR(INDEX('Base Runes'!$G:$G,MATCH($B6,'Base Runes'!$A:$A,0)),"")</f>
        <v/>
      </c>
      <c r="H6" s="30" t="n"/>
      <c r="I6" s="10" t="n"/>
      <c r="J6" s="10" t="n"/>
    </row>
    <row r="7" ht="30" customHeight="1">
      <c r="A7" s="26" t="n">
        <v>1</v>
      </c>
      <c r="B7" s="10" t="inlineStr">
        <is>
          <t>DTH-1b</t>
        </is>
      </c>
      <c r="C7" s="27">
        <f>IFERROR(INDEX('Base Runes'!$D:$D,MATCH($B7,'Base Runes'!$A:$A,0)),"")</f>
        <v/>
      </c>
      <c r="D7" s="31">
        <f>IFERROR(INDEX('Base Runes'!$E:$E,MATCH($B7,'Base Runes'!$A:$A,0)),"")</f>
        <v/>
      </c>
      <c r="E7" s="10" t="inlineStr">
        <is>
          <t>hold a life at the edge, for capture or mercy</t>
        </is>
      </c>
      <c r="F7" s="30" t="n"/>
      <c r="G7" s="11">
        <f>IFERROR(INDEX('Base Runes'!$G:$G,MATCH($B7,'Base Runes'!$A:$A,0)),"")</f>
        <v/>
      </c>
      <c r="H7" s="30" t="n"/>
      <c r="I7" s="10" t="n"/>
      <c r="J7" s="10" t="n"/>
    </row>
    <row r="8" ht="30" customHeight="1">
      <c r="A8" s="26" t="n">
        <v>2</v>
      </c>
      <c r="B8" s="10" t="inlineStr">
        <is>
          <t>DTH-2a</t>
        </is>
      </c>
      <c r="C8" s="27">
        <f>IFERROR(INDEX('Base Runes'!$D:$D,MATCH($B8,'Base Runes'!$A:$A,0)),"")</f>
        <v/>
      </c>
      <c r="D8" s="31">
        <f>IFERROR(INDEX('Base Runes'!$E:$E,MATCH($B8,'Base Runes'!$A:$A,0)),"")</f>
        <v/>
      </c>
      <c r="E8" s="10" t="inlineStr">
        <is>
          <t>the dead get up</t>
        </is>
      </c>
      <c r="F8" s="30" t="n"/>
      <c r="G8" s="11">
        <f>IFERROR(INDEX('Base Runes'!$G:$G,MATCH($B8,'Base Runes'!$A:$A,0)),"")</f>
        <v/>
      </c>
      <c r="H8" s="30" t="n"/>
      <c r="I8" s="10" t="n"/>
      <c r="J8" s="10" t="n"/>
    </row>
    <row r="9" ht="30" customHeight="1">
      <c r="A9" s="26" t="n">
        <v>2</v>
      </c>
      <c r="B9" s="10" t="inlineStr">
        <is>
          <t>DTH-2b</t>
        </is>
      </c>
      <c r="C9" s="27">
        <f>IFERROR(INDEX('Base Runes'!$D:$D,MATCH($B9,'Base Runes'!$A:$A,0)),"")</f>
        <v/>
      </c>
      <c r="D9" s="31">
        <f>IFERROR(INDEX('Base Runes'!$E:$E,MATCH($B9,'Base Runes'!$A:$A,0)),"")</f>
        <v/>
      </c>
      <c r="E9" s="10" t="inlineStr">
        <is>
          <t>put them down for good</t>
        </is>
      </c>
      <c r="F9" s="30" t="n"/>
      <c r="G9" s="11">
        <f>IFERROR(INDEX('Base Runes'!$G:$G,MATCH($B9,'Base Runes'!$A:$A,0)),"")</f>
        <v/>
      </c>
      <c r="H9" s="30" t="n"/>
      <c r="I9" s="10" t="n"/>
      <c r="J9" s="10" t="n"/>
    </row>
    <row r="10" ht="30" customHeight="1">
      <c r="A10" s="26" t="n">
        <v>3</v>
      </c>
      <c r="B10" s="10" t="inlineStr">
        <is>
          <t>DTH-3a</t>
        </is>
      </c>
      <c r="C10" s="27">
        <f>IFERROR(INDEX('Base Runes'!$D:$D,MATCH($B10,'Base Runes'!$A:$A,0)),"")</f>
        <v/>
      </c>
      <c r="D10" s="31">
        <f>IFERROR(INDEX('Base Runes'!$E:$E,MATCH($B10,'Base Runes'!$A:$A,0)),"")</f>
        <v/>
      </c>
      <c r="E10" s="10" t="inlineStr">
        <is>
          <t>decay</t>
        </is>
      </c>
      <c r="F10" s="30" t="n"/>
      <c r="G10" s="11">
        <f>IFERROR(INDEX('Base Runes'!$G:$G,MATCH($B10,'Base Runes'!$A:$A,0)),"")</f>
        <v/>
      </c>
      <c r="H10" s="30" t="n"/>
      <c r="I10" s="10" t="n"/>
      <c r="J10" s="10" t="n"/>
    </row>
    <row r="11" ht="30" customHeight="1">
      <c r="A11" s="26" t="n">
        <v>3</v>
      </c>
      <c r="B11" s="10" t="inlineStr">
        <is>
          <t>DTH-3b</t>
        </is>
      </c>
      <c r="C11" s="27">
        <f>IFERROR(INDEX('Base Runes'!$D:$D,MATCH($B11,'Base Runes'!$A:$A,0)),"")</f>
        <v/>
      </c>
      <c r="D11" s="31">
        <f>IFERROR(INDEX('Base Runes'!$E:$E,MATCH($B11,'Base Runes'!$A:$A,0)),"")</f>
        <v/>
      </c>
      <c r="E11" s="10" t="inlineStr">
        <is>
          <t>stop decay, the user's own body included</t>
        </is>
      </c>
      <c r="F11" s="30" t="n"/>
      <c r="G11" s="11">
        <f>IFERROR(INDEX('Base Runes'!$G:$G,MATCH($B11,'Base Runes'!$A:$A,0)),"")</f>
        <v/>
      </c>
      <c r="H11" s="30" t="n"/>
      <c r="I11" s="10" t="n"/>
      <c r="J11" s="10" t="n"/>
    </row>
    <row r="12" ht="30" customHeight="1">
      <c r="A12" s="26" t="n">
        <v>4</v>
      </c>
      <c r="B12" s="10" t="inlineStr">
        <is>
          <t>DTH-4a</t>
        </is>
      </c>
      <c r="C12" s="27">
        <f>IFERROR(INDEX('Base Runes'!$D:$D,MATCH($B12,'Base Runes'!$A:$A,0)),"")</f>
        <v/>
      </c>
      <c r="D12" s="31">
        <f>IFERROR(INDEX('Base Runes'!$E:$E,MATCH($B12,'Base Runes'!$A:$A,0)),"")</f>
        <v/>
      </c>
      <c r="E12" s="10" t="inlineStr">
        <is>
          <t>what dies lingers as a spirit</t>
        </is>
      </c>
      <c r="F12" s="30" t="n"/>
      <c r="G12" s="11">
        <f>IFERROR(INDEX('Base Runes'!$G:$G,MATCH($B12,'Base Runes'!$A:$A,0)),"")</f>
        <v/>
      </c>
      <c r="H12" s="30" t="n"/>
      <c r="I12" s="10" t="n"/>
      <c r="J12" s="10" t="n"/>
    </row>
    <row r="13" ht="30" customHeight="1">
      <c r="A13" s="26" t="n">
        <v>4</v>
      </c>
      <c r="B13" s="10" t="inlineStr">
        <is>
          <t>DTH-4b</t>
        </is>
      </c>
      <c r="C13" s="27">
        <f>IFERROR(INDEX('Base Runes'!$D:$D,MATCH($B13,'Base Runes'!$A:$A,0)),"")</f>
        <v/>
      </c>
      <c r="D13" s="31">
        <f>IFERROR(INDEX('Base Runes'!$E:$E,MATCH($B13,'Base Runes'!$A:$A,0)),"")</f>
        <v/>
      </c>
      <c r="E13" s="10" t="inlineStr">
        <is>
          <t>banish spirits and constructs</t>
        </is>
      </c>
      <c r="F13" s="30" t="n"/>
      <c r="G13" s="11">
        <f>IFERROR(INDEX('Base Runes'!$G:$G,MATCH($B13,'Base Runes'!$A:$A,0)),"")</f>
        <v/>
      </c>
      <c r="H13" s="30" t="n"/>
      <c r="I13" s="10" t="n"/>
      <c r="J13" s="10" t="n"/>
    </row>
    <row r="14" ht="30" customHeight="1">
      <c r="A14" s="26" t="n">
        <v>5</v>
      </c>
      <c r="B14" s="10" t="inlineStr">
        <is>
          <t>DTH-5a</t>
        </is>
      </c>
      <c r="C14" s="27">
        <f>IFERROR(INDEX('Base Runes'!$D:$D,MATCH($B14,'Base Runes'!$A:$A,0)),"")</f>
        <v/>
      </c>
      <c r="D14" s="31">
        <f>IFERROR(INDEX('Base Runes'!$E:$E,MATCH($B14,'Base Runes'!$A:$A,0)),"")</f>
        <v/>
      </c>
      <c r="E14" s="10" t="inlineStr">
        <is>
          <t>a mark that ends the target when it runs out</t>
        </is>
      </c>
      <c r="F14" s="30" t="n"/>
      <c r="G14" s="11">
        <f>IFERROR(INDEX('Base Runes'!$G:$G,MATCH($B14,'Base Runes'!$A:$A,0)),"")</f>
        <v/>
      </c>
      <c r="H14" s="30" t="n"/>
      <c r="I14" s="10" t="n"/>
      <c r="J14" s="10" t="n"/>
    </row>
    <row r="15" ht="30" customHeight="1">
      <c r="A15" s="26" t="n">
        <v>5</v>
      </c>
      <c r="B15" s="10" t="inlineStr">
        <is>
          <t>DTH-5b</t>
        </is>
      </c>
      <c r="C15" s="27">
        <f>IFERROR(INDEX('Base Runes'!$D:$D,MATCH($B15,'Base Runes'!$A:$A,0)),"")</f>
        <v/>
      </c>
      <c r="D15" s="31">
        <f>IFERROR(INDEX('Base Runes'!$E:$E,MATCH($B15,'Base Runes'!$A:$A,0)),"")</f>
        <v/>
      </c>
      <c r="E15" s="10" t="inlineStr">
        <is>
          <t>lift a doom</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16.xml><?xml version="1.0" encoding="utf-8"?>
<worksheet xmlns="http://schemas.openxmlformats.org/spreadsheetml/2006/main">
  <sheetPr>
    <tabColor rgb="003E7B3A"/>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Nature</t>
        </is>
      </c>
    </row>
    <row r="2">
      <c r="A2" s="4" t="inlineStr">
        <is>
          <t>Rule: Grows from the ground and keeps growing</t>
        </is>
      </c>
    </row>
    <row r="3" ht="30" customHeight="1">
      <c r="A3" s="2" t="inlineStr">
        <is>
          <t>What it plants stays, spreads and gets stronger over time.  Status: First pass.  Source: C: nature is named; MODEL: the rule.</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NAT-1a</t>
        </is>
      </c>
      <c r="C6" s="27">
        <f>IFERROR(INDEX('Base Runes'!$D:$D,MATCH($B6,'Base Runes'!$A:$A,0)),"")</f>
        <v/>
      </c>
      <c r="D6" s="31">
        <f>IFERROR(INDEX('Base Runes'!$E:$E,MATCH($B6,'Base Runes'!$A:$A,0)),"")</f>
        <v/>
      </c>
      <c r="E6" s="10" t="inlineStr">
        <is>
          <t>grow plants</t>
        </is>
      </c>
      <c r="F6" s="30" t="n"/>
      <c r="G6" s="11">
        <f>IFERROR(INDEX('Base Runes'!$G:$G,MATCH($B6,'Base Runes'!$A:$A,0)),"")</f>
        <v/>
      </c>
      <c r="H6" s="30" t="n"/>
      <c r="I6" s="10" t="n"/>
      <c r="J6" s="10" t="n"/>
    </row>
    <row r="7" ht="30" customHeight="1">
      <c r="A7" s="26" t="n">
        <v>1</v>
      </c>
      <c r="B7" s="10" t="inlineStr">
        <is>
          <t>NAT-1b</t>
        </is>
      </c>
      <c r="C7" s="27">
        <f>IFERROR(INDEX('Base Runes'!$D:$D,MATCH($B7,'Base Runes'!$A:$A,0)),"")</f>
        <v/>
      </c>
      <c r="D7" s="31">
        <f>IFERROR(INDEX('Base Runes'!$E:$E,MATCH($B7,'Base Runes'!$A:$A,0)),"")</f>
        <v/>
      </c>
      <c r="E7" s="10" t="inlineStr">
        <is>
          <t>kill them, clear ground</t>
        </is>
      </c>
      <c r="F7" s="30" t="n"/>
      <c r="G7" s="11">
        <f>IFERROR(INDEX('Base Runes'!$G:$G,MATCH($B7,'Base Runes'!$A:$A,0)),"")</f>
        <v/>
      </c>
      <c r="H7" s="30" t="n"/>
      <c r="I7" s="10" t="n"/>
      <c r="J7" s="10" t="n"/>
    </row>
    <row r="8" ht="30" customHeight="1">
      <c r="A8" s="26" t="n">
        <v>2</v>
      </c>
      <c r="B8" s="10" t="inlineStr">
        <is>
          <t>NAT-2a</t>
        </is>
      </c>
      <c r="C8" s="27">
        <f>IFERROR(INDEX('Base Runes'!$D:$D,MATCH($B8,'Base Runes'!$A:$A,0)),"")</f>
        <v/>
      </c>
      <c r="D8" s="31">
        <f>IFERROR(INDEX('Base Runes'!$E:$E,MATCH($B8,'Base Runes'!$A:$A,0)),"")</f>
        <v/>
      </c>
      <c r="E8" s="10" t="inlineStr">
        <is>
          <t>vines bind</t>
        </is>
      </c>
      <c r="F8" s="30" t="n"/>
      <c r="G8" s="11">
        <f>IFERROR(INDEX('Base Runes'!$G:$G,MATCH($B8,'Base Runes'!$A:$A,0)),"")</f>
        <v/>
      </c>
      <c r="H8" s="30" t="n"/>
      <c r="I8" s="10" t="n"/>
      <c r="J8" s="10" t="n"/>
    </row>
    <row r="9" ht="30" customHeight="1">
      <c r="A9" s="26" t="n">
        <v>2</v>
      </c>
      <c r="B9" s="10" t="inlineStr">
        <is>
          <t>NAT-2b</t>
        </is>
      </c>
      <c r="C9" s="27">
        <f>IFERROR(INDEX('Base Runes'!$D:$D,MATCH($B9,'Base Runes'!$A:$A,0)),"")</f>
        <v/>
      </c>
      <c r="D9" s="31">
        <f>IFERROR(INDEX('Base Runes'!$E:$E,MATCH($B9,'Base Runes'!$A:$A,0)),"")</f>
        <v/>
      </c>
      <c r="E9" s="10" t="inlineStr">
        <is>
          <t>free what is bound</t>
        </is>
      </c>
      <c r="F9" s="30" t="n"/>
      <c r="G9" s="11">
        <f>IFERROR(INDEX('Base Runes'!$G:$G,MATCH($B9,'Base Runes'!$A:$A,0)),"")</f>
        <v/>
      </c>
      <c r="H9" s="30" t="n"/>
      <c r="I9" s="10" t="n"/>
      <c r="J9" s="10" t="n"/>
    </row>
    <row r="10" ht="30" customHeight="1">
      <c r="A10" s="26" t="n">
        <v>3</v>
      </c>
      <c r="B10" s="10" t="inlineStr">
        <is>
          <t>NAT-3a</t>
        </is>
      </c>
      <c r="C10" s="27">
        <f>IFERROR(INDEX('Base Runes'!$D:$D,MATCH($B10,'Base Runes'!$A:$A,0)),"")</f>
        <v/>
      </c>
      <c r="D10" s="31">
        <f>IFERROR(INDEX('Base Runes'!$E:$E,MATCH($B10,'Base Runes'!$A:$A,0)),"")</f>
        <v/>
      </c>
      <c r="E10" s="10" t="inlineStr">
        <is>
          <t>act now, in flower</t>
        </is>
      </c>
      <c r="F10" s="30" t="n"/>
      <c r="G10" s="11">
        <f>IFERROR(INDEX('Base Runes'!$G:$G,MATCH($B10,'Base Runes'!$A:$A,0)),"")</f>
        <v/>
      </c>
      <c r="H10" s="30" t="n"/>
      <c r="I10" s="10" t="n"/>
      <c r="J10" s="10" t="n"/>
    </row>
    <row r="11" ht="30" customHeight="1">
      <c r="A11" s="26" t="n">
        <v>3</v>
      </c>
      <c r="B11" s="10" t="inlineStr">
        <is>
          <t>NAT-3b</t>
        </is>
      </c>
      <c r="C11" s="27">
        <f>IFERROR(INDEX('Base Runes'!$D:$D,MATCH($B11,'Base Runes'!$A:$A,0)),"")</f>
        <v/>
      </c>
      <c r="D11" s="31">
        <f>IFERROR(INDEX('Base Runes'!$E:$E,MATCH($B11,'Base Runes'!$A:$A,0)),"")</f>
        <v/>
      </c>
      <c r="E11" s="10" t="inlineStr">
        <is>
          <t>plant it to act later</t>
        </is>
      </c>
      <c r="F11" s="30" t="n"/>
      <c r="G11" s="11">
        <f>IFERROR(INDEX('Base Runes'!$G:$G,MATCH($B11,'Base Runes'!$A:$A,0)),"")</f>
        <v/>
      </c>
      <c r="H11" s="30" t="n"/>
      <c r="I11" s="10" t="n"/>
      <c r="J11" s="10" t="n"/>
    </row>
    <row r="12" ht="30" customHeight="1">
      <c r="A12" s="26" t="n">
        <v>4</v>
      </c>
      <c r="B12" s="10" t="inlineStr">
        <is>
          <t>NAT-4a</t>
        </is>
      </c>
      <c r="C12" s="27">
        <f>IFERROR(INDEX('Base Runes'!$D:$D,MATCH($B12,'Base Runes'!$A:$A,0)),"")</f>
        <v/>
      </c>
      <c r="D12" s="31">
        <f>IFERROR(INDEX('Base Runes'!$E:$E,MATCH($B12,'Base Runes'!$A:$A,0)),"")</f>
        <v/>
      </c>
      <c r="E12" s="10" t="inlineStr">
        <is>
          <t>barbs and briar</t>
        </is>
      </c>
      <c r="F12" s="30" t="n"/>
      <c r="G12" s="11">
        <f>IFERROR(INDEX('Base Runes'!$G:$G,MATCH($B12,'Base Runes'!$A:$A,0)),"")</f>
        <v/>
      </c>
      <c r="H12" s="30" t="n"/>
      <c r="I12" s="10" t="n"/>
      <c r="J12" s="10" t="n"/>
    </row>
    <row r="13" ht="30" customHeight="1">
      <c r="A13" s="26" t="n">
        <v>4</v>
      </c>
      <c r="B13" s="10" t="inlineStr">
        <is>
          <t>NAT-4b</t>
        </is>
      </c>
      <c r="C13" s="27">
        <f>IFERROR(INDEX('Base Runes'!$D:$D,MATCH($B13,'Base Runes'!$A:$A,0)),"")</f>
        <v/>
      </c>
      <c r="D13" s="31">
        <f>IFERROR(INDEX('Base Runes'!$E:$E,MATCH($B13,'Base Runes'!$A:$A,0)),"")</f>
        <v/>
      </c>
      <c r="E13" s="10" t="inlineStr">
        <is>
          <t>soft ground that cushions</t>
        </is>
      </c>
      <c r="F13" s="30" t="n"/>
      <c r="G13" s="11">
        <f>IFERROR(INDEX('Base Runes'!$G:$G,MATCH($B13,'Base Runes'!$A:$A,0)),"")</f>
        <v/>
      </c>
      <c r="H13" s="30" t="n"/>
      <c r="I13" s="10" t="n"/>
      <c r="J13" s="10" t="n"/>
    </row>
    <row r="14" ht="30" customHeight="1">
      <c r="A14" s="26" t="n">
        <v>5</v>
      </c>
      <c r="B14" s="10" t="inlineStr">
        <is>
          <t>NAT-5a</t>
        </is>
      </c>
      <c r="C14" s="27">
        <f>IFERROR(INDEX('Base Runes'!$D:$D,MATCH($B14,'Base Runes'!$A:$A,0)),"")</f>
        <v/>
      </c>
      <c r="D14" s="31">
        <f>IFERROR(INDEX('Base Runes'!$E:$E,MATCH($B14,'Base Runes'!$A:$A,0)),"")</f>
        <v/>
      </c>
      <c r="E14" s="10" t="inlineStr">
        <is>
          <t>nourish</t>
        </is>
      </c>
      <c r="F14" s="30" t="n"/>
      <c r="G14" s="11">
        <f>IFERROR(INDEX('Base Runes'!$G:$G,MATCH($B14,'Base Runes'!$A:$A,0)),"")</f>
        <v/>
      </c>
      <c r="H14" s="30" t="n"/>
      <c r="I14" s="10" t="n"/>
      <c r="J14" s="10" t="n"/>
    </row>
    <row r="15" ht="30" customHeight="1">
      <c r="A15" s="26" t="n">
        <v>5</v>
      </c>
      <c r="B15" s="10" t="inlineStr">
        <is>
          <t>NAT-5b</t>
        </is>
      </c>
      <c r="C15" s="27">
        <f>IFERROR(INDEX('Base Runes'!$D:$D,MATCH($B15,'Base Runes'!$A:$A,0)),"")</f>
        <v/>
      </c>
      <c r="D15" s="31">
        <f>IFERROR(INDEX('Base Runes'!$E:$E,MATCH($B15,'Base Runes'!$A:$A,0)),"")</f>
        <v/>
      </c>
      <c r="E15" s="10" t="inlineStr">
        <is>
          <t>deprive of soil and light</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17.xml><?xml version="1.0" encoding="utf-8"?>
<worksheet xmlns="http://schemas.openxmlformats.org/spreadsheetml/2006/main">
  <sheetPr>
    <tabColor rgb="00F5E6A8"/>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Light</t>
        </is>
      </c>
    </row>
    <row r="2">
      <c r="A2" s="4" t="inlineStr">
        <is>
          <t>Rule: Straight and instant; reveals the hidden</t>
        </is>
      </c>
    </row>
    <row r="3" ht="30" customHeight="1">
      <c r="A3" s="2" t="inlineStr">
        <is>
          <t>Status: First pass.  Source: MODEL: the rule.</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LGT-1a</t>
        </is>
      </c>
      <c r="C6" s="27">
        <f>IFERROR(INDEX('Base Runes'!$D:$D,MATCH($B6,'Base Runes'!$A:$A,0)),"")</f>
        <v/>
      </c>
      <c r="D6" s="31">
        <f>IFERROR(INDEX('Base Runes'!$E:$E,MATCH($B6,'Base Runes'!$A:$A,0)),"")</f>
        <v/>
      </c>
      <c r="E6" s="10" t="inlineStr">
        <is>
          <t>illuminate</t>
        </is>
      </c>
      <c r="F6" s="30" t="n"/>
      <c r="G6" s="11">
        <f>IFERROR(INDEX('Base Runes'!$G:$G,MATCH($B6,'Base Runes'!$A:$A,0)),"")</f>
        <v/>
      </c>
      <c r="H6" s="30" t="n"/>
      <c r="I6" s="10" t="n"/>
      <c r="J6" s="10" t="n"/>
    </row>
    <row r="7" ht="30" customHeight="1">
      <c r="A7" s="26" t="n">
        <v>1</v>
      </c>
      <c r="B7" s="10" t="inlineStr">
        <is>
          <t>LGT-1b</t>
        </is>
      </c>
      <c r="C7" s="27">
        <f>IFERROR(INDEX('Base Runes'!$D:$D,MATCH($B7,'Base Runes'!$A:$A,0)),"")</f>
        <v/>
      </c>
      <c r="D7" s="31">
        <f>IFERROR(INDEX('Base Runes'!$E:$E,MATCH($B7,'Base Runes'!$A:$A,0)),"")</f>
        <v/>
      </c>
      <c r="E7" s="10" t="inlineStr">
        <is>
          <t>bend light away; dim</t>
        </is>
      </c>
      <c r="F7" s="30" t="n"/>
      <c r="G7" s="11">
        <f>IFERROR(INDEX('Base Runes'!$G:$G,MATCH($B7,'Base Runes'!$A:$A,0)),"")</f>
        <v/>
      </c>
      <c r="H7" s="30" t="n"/>
      <c r="I7" s="10" t="n"/>
      <c r="J7" s="10" t="n"/>
    </row>
    <row r="8" ht="30" customHeight="1">
      <c r="A8" s="26" t="n">
        <v>2</v>
      </c>
      <c r="B8" s="10" t="inlineStr">
        <is>
          <t>LGT-2a</t>
        </is>
      </c>
      <c r="C8" s="27">
        <f>IFERROR(INDEX('Base Runes'!$D:$D,MATCH($B8,'Base Runes'!$A:$A,0)),"")</f>
        <v/>
      </c>
      <c r="D8" s="31">
        <f>IFERROR(INDEX('Base Runes'!$E:$E,MATCH($B8,'Base Runes'!$A:$A,0)),"")</f>
        <v/>
      </c>
      <c r="E8" s="10" t="inlineStr">
        <is>
          <t>a beam</t>
        </is>
      </c>
      <c r="F8" s="30" t="n"/>
      <c r="G8" s="11">
        <f>IFERROR(INDEX('Base Runes'!$G:$G,MATCH($B8,'Base Runes'!$A:$A,0)),"")</f>
        <v/>
      </c>
      <c r="H8" s="30" t="n"/>
      <c r="I8" s="10" t="n"/>
      <c r="J8" s="10" t="n"/>
    </row>
    <row r="9" ht="30" customHeight="1">
      <c r="A9" s="26" t="n">
        <v>2</v>
      </c>
      <c r="B9" s="10" t="inlineStr">
        <is>
          <t>LGT-2b</t>
        </is>
      </c>
      <c r="C9" s="27">
        <f>IFERROR(INDEX('Base Runes'!$D:$D,MATCH($B9,'Base Runes'!$A:$A,0)),"")</f>
        <v/>
      </c>
      <c r="D9" s="31">
        <f>IFERROR(INDEX('Base Runes'!$E:$E,MATCH($B9,'Base Runes'!$A:$A,0)),"")</f>
        <v/>
      </c>
      <c r="E9" s="10" t="inlineStr">
        <is>
          <t>a soft field</t>
        </is>
      </c>
      <c r="F9" s="30" t="n"/>
      <c r="G9" s="11">
        <f>IFERROR(INDEX('Base Runes'!$G:$G,MATCH($B9,'Base Runes'!$A:$A,0)),"")</f>
        <v/>
      </c>
      <c r="H9" s="30" t="n"/>
      <c r="I9" s="10" t="n"/>
      <c r="J9" s="10" t="n"/>
    </row>
    <row r="10" ht="30" customHeight="1">
      <c r="A10" s="26" t="n">
        <v>3</v>
      </c>
      <c r="B10" s="10" t="inlineStr">
        <is>
          <t>LGT-3a</t>
        </is>
      </c>
      <c r="C10" s="27">
        <f>IFERROR(INDEX('Base Runes'!$D:$D,MATCH($B10,'Base Runes'!$A:$A,0)),"")</f>
        <v/>
      </c>
      <c r="D10" s="31">
        <f>IFERROR(INDEX('Base Runes'!$E:$E,MATCH($B10,'Base Runes'!$A:$A,0)),"")</f>
        <v/>
      </c>
      <c r="E10" s="10" t="inlineStr">
        <is>
          <t>show the hidden and invisible</t>
        </is>
      </c>
      <c r="F10" s="30" t="n"/>
      <c r="G10" s="11">
        <f>IFERROR(INDEX('Base Runes'!$G:$G,MATCH($B10,'Base Runes'!$A:$A,0)),"")</f>
        <v/>
      </c>
      <c r="H10" s="30" t="n"/>
      <c r="I10" s="10" t="n"/>
      <c r="J10" s="10" t="n"/>
    </row>
    <row r="11" ht="30" customHeight="1">
      <c r="A11" s="26" t="n">
        <v>3</v>
      </c>
      <c r="B11" s="10" t="inlineStr">
        <is>
          <t>LGT-3b</t>
        </is>
      </c>
      <c r="C11" s="27">
        <f>IFERROR(INDEX('Base Runes'!$D:$D,MATCH($B11,'Base Runes'!$A:$A,0)),"")</f>
        <v/>
      </c>
      <c r="D11" s="31">
        <f>IFERROR(INDEX('Base Runes'!$E:$E,MATCH($B11,'Base Runes'!$A:$A,0)),"")</f>
        <v/>
      </c>
      <c r="E11" s="10" t="inlineStr">
        <is>
          <t>bend light into false images, or nothing</t>
        </is>
      </c>
      <c r="F11" s="30" t="n"/>
      <c r="G11" s="11">
        <f>IFERROR(INDEX('Base Runes'!$G:$G,MATCH($B11,'Base Runes'!$A:$A,0)),"")</f>
        <v/>
      </c>
      <c r="H11" s="30" t="n"/>
      <c r="I11" s="10" t="n"/>
      <c r="J11" s="10" t="n"/>
    </row>
    <row r="12" ht="30" customHeight="1">
      <c r="A12" s="26" t="n">
        <v>4</v>
      </c>
      <c r="B12" s="10" t="inlineStr">
        <is>
          <t>LGT-4a</t>
        </is>
      </c>
      <c r="C12" s="27">
        <f>IFERROR(INDEX('Base Runes'!$D:$D,MATCH($B12,'Base Runes'!$A:$A,0)),"")</f>
        <v/>
      </c>
      <c r="D12" s="31">
        <f>IFERROR(INDEX('Base Runes'!$E:$E,MATCH($B12,'Base Runes'!$A:$A,0)),"")</f>
        <v/>
      </c>
      <c r="E12" s="10" t="inlineStr">
        <is>
          <t>blind</t>
        </is>
      </c>
      <c r="F12" s="30" t="n"/>
      <c r="G12" s="11">
        <f>IFERROR(INDEX('Base Runes'!$G:$G,MATCH($B12,'Base Runes'!$A:$A,0)),"")</f>
        <v/>
      </c>
      <c r="H12" s="30" t="n"/>
      <c r="I12" s="10" t="n"/>
      <c r="J12" s="10" t="n"/>
    </row>
    <row r="13" ht="30" customHeight="1">
      <c r="A13" s="26" t="n">
        <v>4</v>
      </c>
      <c r="B13" s="10" t="inlineStr">
        <is>
          <t>LGT-4b</t>
        </is>
      </c>
      <c r="C13" s="27">
        <f>IFERROR(INDEX('Base Runes'!$D:$D,MATCH($B13,'Base Runes'!$A:$A,0)),"")</f>
        <v/>
      </c>
      <c r="D13" s="31">
        <f>IFERROR(INDEX('Base Runes'!$E:$E,MATCH($B13,'Base Runes'!$A:$A,0)),"")</f>
        <v/>
      </c>
      <c r="E13" s="10" t="inlineStr">
        <is>
          <t>restore and sharpen sight</t>
        </is>
      </c>
      <c r="F13" s="30" t="n"/>
      <c r="G13" s="11">
        <f>IFERROR(INDEX('Base Runes'!$G:$G,MATCH($B13,'Base Runes'!$A:$A,0)),"")</f>
        <v/>
      </c>
      <c r="H13" s="30" t="n"/>
      <c r="I13" s="10" t="n"/>
      <c r="J13" s="10" t="n"/>
    </row>
    <row r="14" ht="30" customHeight="1">
      <c r="A14" s="26" t="n">
        <v>5</v>
      </c>
      <c r="B14" s="10" t="inlineStr">
        <is>
          <t>LGT-5a</t>
        </is>
      </c>
      <c r="C14" s="27">
        <f>IFERROR(INDEX('Base Runes'!$D:$D,MATCH($B14,'Base Runes'!$A:$A,0)),"")</f>
        <v/>
      </c>
      <c r="D14" s="31">
        <f>IFERROR(INDEX('Base Runes'!$E:$E,MATCH($B14,'Base Runes'!$A:$A,0)),"")</f>
        <v/>
      </c>
      <c r="E14" s="10" t="inlineStr">
        <is>
          <t>a radiance that strengthens allies</t>
        </is>
      </c>
      <c r="F14" s="30" t="n"/>
      <c r="G14" s="11">
        <f>IFERROR(INDEX('Base Runes'!$G:$G,MATCH($B14,'Base Runes'!$A:$A,0)),"")</f>
        <v/>
      </c>
      <c r="H14" s="30" t="n"/>
      <c r="I14" s="10" t="n"/>
      <c r="J14" s="10" t="n"/>
    </row>
    <row r="15" ht="30" customHeight="1">
      <c r="A15" s="26" t="n">
        <v>5</v>
      </c>
      <c r="B15" s="10" t="inlineStr">
        <is>
          <t>LGT-5b</t>
        </is>
      </c>
      <c r="C15" s="27">
        <f>IFERROR(INDEX('Base Runes'!$D:$D,MATCH($B15,'Base Runes'!$A:$A,0)),"")</f>
        <v/>
      </c>
      <c r="D15" s="31">
        <f>IFERROR(INDEX('Base Runes'!$E:$E,MATCH($B15,'Base Runes'!$A:$A,0)),"")</f>
        <v/>
      </c>
      <c r="E15" s="10" t="inlineStr">
        <is>
          <t>blot all light out</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18.xml><?xml version="1.0" encoding="utf-8"?>
<worksheet xmlns="http://schemas.openxmlformats.org/spreadsheetml/2006/main">
  <sheetPr>
    <tabColor rgb="009B7FD4"/>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Dream</t>
        </is>
      </c>
    </row>
    <row r="2">
      <c r="A2" s="4" t="inlineStr">
        <is>
          <t>Rule: The mind</t>
        </is>
      </c>
    </row>
    <row r="3" ht="30" customHeight="1">
      <c r="A3" s="2" t="inlineStr">
        <is>
          <t>It needs the target to see it or to sleep, and it grows stronger on the dazed and sleeping.  Status: First pass.  Source: C: dream is a named, valued affinity; MODEL: the rule.</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DRM-1a</t>
        </is>
      </c>
      <c r="C6" s="27">
        <f>IFERROR(INDEX('Base Runes'!$D:$D,MATCH($B6,'Base Runes'!$A:$A,0)),"")</f>
        <v/>
      </c>
      <c r="D6" s="31">
        <f>IFERROR(INDEX('Base Runes'!$E:$E,MATCH($B6,'Base Runes'!$A:$A,0)),"")</f>
        <v/>
      </c>
      <c r="E6" s="10" t="inlineStr">
        <is>
          <t>put to sleep</t>
        </is>
      </c>
      <c r="F6" s="30" t="n"/>
      <c r="G6" s="11">
        <f>IFERROR(INDEX('Base Runes'!$G:$G,MATCH($B6,'Base Runes'!$A:$A,0)),"")</f>
        <v/>
      </c>
      <c r="H6" s="30" t="n"/>
      <c r="I6" s="10" t="n"/>
      <c r="J6" s="10" t="n"/>
    </row>
    <row r="7" ht="30" customHeight="1">
      <c r="A7" s="26" t="n">
        <v>1</v>
      </c>
      <c r="B7" s="10" t="inlineStr">
        <is>
          <t>DRM-1b</t>
        </is>
      </c>
      <c r="C7" s="27">
        <f>IFERROR(INDEX('Base Runes'!$D:$D,MATCH($B7,'Base Runes'!$A:$A,0)),"")</f>
        <v/>
      </c>
      <c r="D7" s="31">
        <f>IFERROR(INDEX('Base Runes'!$E:$E,MATCH($B7,'Base Runes'!$A:$A,0)),"")</f>
        <v/>
      </c>
      <c r="E7" s="10" t="inlineStr">
        <is>
          <t>rouse, break a trance</t>
        </is>
      </c>
      <c r="F7" s="30" t="n"/>
      <c r="G7" s="11">
        <f>IFERROR(INDEX('Base Runes'!$G:$G,MATCH($B7,'Base Runes'!$A:$A,0)),"")</f>
        <v/>
      </c>
      <c r="H7" s="30" t="n"/>
      <c r="I7" s="10" t="n"/>
      <c r="J7" s="10" t="n"/>
    </row>
    <row r="8" ht="30" customHeight="1">
      <c r="A8" s="26" t="n">
        <v>2</v>
      </c>
      <c r="B8" s="10" t="inlineStr">
        <is>
          <t>DRM-2a</t>
        </is>
      </c>
      <c r="C8" s="27">
        <f>IFERROR(INDEX('Base Runes'!$D:$D,MATCH($B8,'Base Runes'!$A:$A,0)),"")</f>
        <v/>
      </c>
      <c r="D8" s="31">
        <f>IFERROR(INDEX('Base Runes'!$E:$E,MATCH($B8,'Base Runes'!$A:$A,0)),"")</f>
        <v/>
      </c>
      <c r="E8" s="10" t="inlineStr">
        <is>
          <t>an illusion</t>
        </is>
      </c>
      <c r="F8" s="30" t="n"/>
      <c r="G8" s="11">
        <f>IFERROR(INDEX('Base Runes'!$G:$G,MATCH($B8,'Base Runes'!$A:$A,0)),"")</f>
        <v/>
      </c>
      <c r="H8" s="30" t="n"/>
      <c r="I8" s="10" t="n"/>
      <c r="J8" s="10" t="n"/>
    </row>
    <row r="9" ht="30" customHeight="1">
      <c r="A9" s="26" t="n">
        <v>2</v>
      </c>
      <c r="B9" s="10" t="inlineStr">
        <is>
          <t>DRM-2b</t>
        </is>
      </c>
      <c r="C9" s="27">
        <f>IFERROR(INDEX('Base Runes'!$D:$D,MATCH($B9,'Base Runes'!$A:$A,0)),"")</f>
        <v/>
      </c>
      <c r="D9" s="31">
        <f>IFERROR(INDEX('Base Runes'!$E:$E,MATCH($B9,'Base Runes'!$A:$A,0)),"")</f>
        <v/>
      </c>
      <c r="E9" s="10" t="inlineStr">
        <is>
          <t>break illusions</t>
        </is>
      </c>
      <c r="F9" s="30" t="n"/>
      <c r="G9" s="11">
        <f>IFERROR(INDEX('Base Runes'!$G:$G,MATCH($B9,'Base Runes'!$A:$A,0)),"")</f>
        <v/>
      </c>
      <c r="H9" s="30" t="n"/>
      <c r="I9" s="10" t="n"/>
      <c r="J9" s="10" t="n"/>
    </row>
    <row r="10" ht="30" customHeight="1">
      <c r="A10" s="26" t="n">
        <v>3</v>
      </c>
      <c r="B10" s="10" t="inlineStr">
        <is>
          <t>DRM-3a</t>
        </is>
      </c>
      <c r="C10" s="27">
        <f>IFERROR(INDEX('Base Runes'!$D:$D,MATCH($B10,'Base Runes'!$A:$A,0)),"")</f>
        <v/>
      </c>
      <c r="D10" s="31">
        <f>IFERROR(INDEX('Base Runes'!$E:$E,MATCH($B10,'Base Runes'!$A:$A,0)),"")</f>
        <v/>
      </c>
      <c r="E10" s="10" t="inlineStr">
        <is>
          <t>terror</t>
        </is>
      </c>
      <c r="F10" s="30" t="n"/>
      <c r="G10" s="11">
        <f>IFERROR(INDEX('Base Runes'!$G:$G,MATCH($B10,'Base Runes'!$A:$A,0)),"")</f>
        <v/>
      </c>
      <c r="H10" s="30" t="n"/>
      <c r="I10" s="10" t="n"/>
      <c r="J10" s="10" t="n"/>
    </row>
    <row r="11" ht="30" customHeight="1">
      <c r="A11" s="26" t="n">
        <v>3</v>
      </c>
      <c r="B11" s="10" t="inlineStr">
        <is>
          <t>DRM-3b</t>
        </is>
      </c>
      <c r="C11" s="27">
        <f>IFERROR(INDEX('Base Runes'!$D:$D,MATCH($B11,'Base Runes'!$A:$A,0)),"")</f>
        <v/>
      </c>
      <c r="D11" s="31">
        <f>IFERROR(INDEX('Base Runes'!$E:$E,MATCH($B11,'Base Runes'!$A:$A,0)),"")</f>
        <v/>
      </c>
      <c r="E11" s="10" t="inlineStr">
        <is>
          <t>bliss, calm</t>
        </is>
      </c>
      <c r="F11" s="30" t="n"/>
      <c r="G11" s="11">
        <f>IFERROR(INDEX('Base Runes'!$G:$G,MATCH($B11,'Base Runes'!$A:$A,0)),"")</f>
        <v/>
      </c>
      <c r="H11" s="30" t="n"/>
      <c r="I11" s="10" t="n"/>
      <c r="J11" s="10" t="n"/>
    </row>
    <row r="12" ht="30" customHeight="1">
      <c r="A12" s="26" t="n">
        <v>4</v>
      </c>
      <c r="B12" s="10" t="inlineStr">
        <is>
          <t>DRM-4a</t>
        </is>
      </c>
      <c r="C12" s="27">
        <f>IFERROR(INDEX('Base Runes'!$D:$D,MATCH($B12,'Base Runes'!$A:$A,0)),"")</f>
        <v/>
      </c>
      <c r="D12" s="31">
        <f>IFERROR(INDEX('Base Runes'!$E:$E,MATCH($B12,'Base Runes'!$A:$A,0)),"")</f>
        <v/>
      </c>
      <c r="E12" s="10" t="inlineStr">
        <is>
          <t>confuse</t>
        </is>
      </c>
      <c r="F12" s="30" t="n"/>
      <c r="G12" s="11">
        <f>IFERROR(INDEX('Base Runes'!$G:$G,MATCH($B12,'Base Runes'!$A:$A,0)),"")</f>
        <v/>
      </c>
      <c r="H12" s="30" t="n"/>
      <c r="I12" s="10" t="n"/>
      <c r="J12" s="10" t="n"/>
    </row>
    <row r="13" ht="30" customHeight="1">
      <c r="A13" s="26" t="n">
        <v>4</v>
      </c>
      <c r="B13" s="10" t="inlineStr">
        <is>
          <t>DRM-4b</t>
        </is>
      </c>
      <c r="C13" s="27">
        <f>IFERROR(INDEX('Base Runes'!$D:$D,MATCH($B13,'Base Runes'!$A:$A,0)),"")</f>
        <v/>
      </c>
      <c r="D13" s="31">
        <f>IFERROR(INDEX('Base Runes'!$E:$E,MATCH($B13,'Base Runes'!$A:$A,0)),"")</f>
        <v/>
      </c>
      <c r="E13" s="10" t="inlineStr">
        <is>
          <t>clear the mind</t>
        </is>
      </c>
      <c r="F13" s="30" t="n"/>
      <c r="G13" s="11">
        <f>IFERROR(INDEX('Base Runes'!$G:$G,MATCH($B13,'Base Runes'!$A:$A,0)),"")</f>
        <v/>
      </c>
      <c r="H13" s="30" t="n"/>
      <c r="I13" s="10" t="n"/>
      <c r="J13" s="10" t="n"/>
    </row>
    <row r="14" ht="30" customHeight="1">
      <c r="A14" s="26" t="n">
        <v>5</v>
      </c>
      <c r="B14" s="10" t="inlineStr">
        <is>
          <t>DRM-5a</t>
        </is>
      </c>
      <c r="C14" s="27">
        <f>IFERROR(INDEX('Base Runes'!$D:$D,MATCH($B14,'Base Runes'!$A:$A,0)),"")</f>
        <v/>
      </c>
      <c r="D14" s="31">
        <f>IFERROR(INDEX('Base Runes'!$E:$E,MATCH($B14,'Base Runes'!$A:$A,0)),"")</f>
        <v/>
      </c>
      <c r="E14" s="10" t="inlineStr">
        <is>
          <t>plant a command</t>
        </is>
      </c>
      <c r="F14" s="30" t="n"/>
      <c r="G14" s="11">
        <f>IFERROR(INDEX('Base Runes'!$G:$G,MATCH($B14,'Base Runes'!$A:$A,0)),"")</f>
        <v/>
      </c>
      <c r="H14" s="30" t="n"/>
      <c r="I14" s="10" t="n"/>
      <c r="J14" s="10" t="n"/>
    </row>
    <row r="15" ht="30" customHeight="1">
      <c r="A15" s="26" t="n">
        <v>5</v>
      </c>
      <c r="B15" s="10" t="inlineStr">
        <is>
          <t>DRM-5b</t>
        </is>
      </c>
      <c r="C15" s="27">
        <f>IFERROR(INDEX('Base Runes'!$D:$D,MATCH($B15,'Base Runes'!$A:$A,0)),"")</f>
        <v/>
      </c>
      <c r="D15" s="31">
        <f>IFERROR(INDEX('Base Runes'!$E:$E,MATCH($B15,'Base Runes'!$A:$A,0)),"")</f>
        <v/>
      </c>
      <c r="E15" s="10" t="inlineStr">
        <is>
          <t>close the mind to others</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19.xml><?xml version="1.0" encoding="utf-8"?>
<worksheet xmlns="http://schemas.openxmlformats.org/spreadsheetml/2006/main">
  <sheetPr>
    <tabColor rgb="007CB342"/>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Poison</t>
        </is>
      </c>
    </row>
    <row r="2">
      <c r="A2" s="4" t="inlineStr">
        <is>
          <t>Rule: Doses stack inside a body and come due later</t>
        </is>
      </c>
    </row>
    <row r="3" ht="30" customHeight="1">
      <c r="A3" s="2" t="inlineStr">
        <is>
          <t>Status: First pass.  Source: MODEL: the rule.</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POI-1a</t>
        </is>
      </c>
      <c r="C6" s="27">
        <f>IFERROR(INDEX('Base Runes'!$D:$D,MATCH($B6,'Base Runes'!$A:$A,0)),"")</f>
        <v/>
      </c>
      <c r="D6" s="31">
        <f>IFERROR(INDEX('Base Runes'!$E:$E,MATCH($B6,'Base Runes'!$A:$A,0)),"")</f>
        <v/>
      </c>
      <c r="E6" s="10" t="inlineStr">
        <is>
          <t>dose a target</t>
        </is>
      </c>
      <c r="F6" s="30" t="n"/>
      <c r="G6" s="11">
        <f>IFERROR(INDEX('Base Runes'!$G:$G,MATCH($B6,'Base Runes'!$A:$A,0)),"")</f>
        <v/>
      </c>
      <c r="H6" s="30" t="n"/>
      <c r="I6" s="10" t="n"/>
      <c r="J6" s="10" t="n"/>
    </row>
    <row r="7" ht="30" customHeight="1">
      <c r="A7" s="26" t="n">
        <v>1</v>
      </c>
      <c r="B7" s="10" t="inlineStr">
        <is>
          <t>POI-1b</t>
        </is>
      </c>
      <c r="C7" s="27">
        <f>IFERROR(INDEX('Base Runes'!$D:$D,MATCH($B7,'Base Runes'!$A:$A,0)),"")</f>
        <v/>
      </c>
      <c r="D7" s="31">
        <f>IFERROR(INDEX('Base Runes'!$E:$E,MATCH($B7,'Base Runes'!$A:$A,0)),"")</f>
        <v/>
      </c>
      <c r="E7" s="10" t="inlineStr">
        <is>
          <t>clear doses</t>
        </is>
      </c>
      <c r="F7" s="30" t="n"/>
      <c r="G7" s="11">
        <f>IFERROR(INDEX('Base Runes'!$G:$G,MATCH($B7,'Base Runes'!$A:$A,0)),"")</f>
        <v/>
      </c>
      <c r="H7" s="30" t="n"/>
      <c r="I7" s="10" t="n"/>
      <c r="J7" s="10" t="n"/>
    </row>
    <row r="8" ht="30" customHeight="1">
      <c r="A8" s="26" t="n">
        <v>2</v>
      </c>
      <c r="B8" s="10" t="inlineStr">
        <is>
          <t>POI-2a</t>
        </is>
      </c>
      <c r="C8" s="27">
        <f>IFERROR(INDEX('Base Runes'!$D:$D,MATCH($B8,'Base Runes'!$A:$A,0)),"")</f>
        <v/>
      </c>
      <c r="D8" s="31">
        <f>IFERROR(INDEX('Base Runes'!$E:$E,MATCH($B8,'Base Runes'!$A:$A,0)),"")</f>
        <v/>
      </c>
      <c r="E8" s="10" t="inlineStr">
        <is>
          <t>weaken</t>
        </is>
      </c>
      <c r="F8" s="30" t="n"/>
      <c r="G8" s="11">
        <f>IFERROR(INDEX('Base Runes'!$G:$G,MATCH($B8,'Base Runes'!$A:$A,0)),"")</f>
        <v/>
      </c>
      <c r="H8" s="30" t="n"/>
      <c r="I8" s="10" t="n"/>
      <c r="J8" s="10" t="n"/>
    </row>
    <row r="9" ht="30" customHeight="1">
      <c r="A9" s="26" t="n">
        <v>2</v>
      </c>
      <c r="B9" s="10" t="inlineStr">
        <is>
          <t>POI-2b</t>
        </is>
      </c>
      <c r="C9" s="27">
        <f>IFERROR(INDEX('Base Runes'!$D:$D,MATCH($B9,'Base Runes'!$A:$A,0)),"")</f>
        <v/>
      </c>
      <c r="D9" s="31">
        <f>IFERROR(INDEX('Base Runes'!$E:$E,MATCH($B9,'Base Runes'!$A:$A,0)),"")</f>
        <v/>
      </c>
      <c r="E9" s="10" t="inlineStr">
        <is>
          <t>strengthen (poison as a drug)</t>
        </is>
      </c>
      <c r="F9" s="30" t="n"/>
      <c r="G9" s="11">
        <f>IFERROR(INDEX('Base Runes'!$G:$G,MATCH($B9,'Base Runes'!$A:$A,0)),"")</f>
        <v/>
      </c>
      <c r="H9" s="30" t="n"/>
      <c r="I9" s="10" t="n"/>
      <c r="J9" s="10" t="n"/>
    </row>
    <row r="10" ht="30" customHeight="1">
      <c r="A10" s="26" t="n">
        <v>3</v>
      </c>
      <c r="B10" s="10" t="inlineStr">
        <is>
          <t>POI-3a</t>
        </is>
      </c>
      <c r="C10" s="27">
        <f>IFERROR(INDEX('Base Runes'!$D:$D,MATCH($B10,'Base Runes'!$A:$A,0)),"")</f>
        <v/>
      </c>
      <c r="D10" s="31">
        <f>IFERROR(INDEX('Base Runes'!$E:$E,MATCH($B10,'Base Runes'!$A:$A,0)),"")</f>
        <v/>
      </c>
      <c r="E10" s="10" t="inlineStr">
        <is>
          <t>build slowly and quietly</t>
        </is>
      </c>
      <c r="F10" s="30" t="n"/>
      <c r="G10" s="11">
        <f>IFERROR(INDEX('Base Runes'!$G:$G,MATCH($B10,'Base Runes'!$A:$A,0)),"")</f>
        <v/>
      </c>
      <c r="H10" s="30" t="n"/>
      <c r="I10" s="10" t="n"/>
      <c r="J10" s="10" t="n"/>
    </row>
    <row r="11" ht="30" customHeight="1">
      <c r="A11" s="26" t="n">
        <v>3</v>
      </c>
      <c r="B11" s="10" t="inlineStr">
        <is>
          <t>POI-3b</t>
        </is>
      </c>
      <c r="C11" s="27">
        <f>IFERROR(INDEX('Base Runes'!$D:$D,MATCH($B11,'Base Runes'!$A:$A,0)),"")</f>
        <v/>
      </c>
      <c r="D11" s="31">
        <f>IFERROR(INDEX('Base Runes'!$E:$E,MATCH($B11,'Base Runes'!$A:$A,0)),"")</f>
        <v/>
      </c>
      <c r="E11" s="10" t="inlineStr">
        <is>
          <t>everything due at once</t>
        </is>
      </c>
      <c r="F11" s="30" t="n"/>
      <c r="G11" s="11">
        <f>IFERROR(INDEX('Base Runes'!$G:$G,MATCH($B11,'Base Runes'!$A:$A,0)),"")</f>
        <v/>
      </c>
      <c r="H11" s="30" t="n"/>
      <c r="I11" s="10" t="n"/>
      <c r="J11" s="10" t="n"/>
    </row>
    <row r="12" ht="30" customHeight="1">
      <c r="A12" s="26" t="n">
        <v>4</v>
      </c>
      <c r="B12" s="10" t="inlineStr">
        <is>
          <t>POI-4a</t>
        </is>
      </c>
      <c r="C12" s="27">
        <f>IFERROR(INDEX('Base Runes'!$D:$D,MATCH($B12,'Base Runes'!$A:$A,0)),"")</f>
        <v/>
      </c>
      <c r="D12" s="31">
        <f>IFERROR(INDEX('Base Runes'!$E:$E,MATCH($B12,'Base Runes'!$A:$A,0)),"")</f>
        <v/>
      </c>
      <c r="E12" s="10" t="inlineStr">
        <is>
          <t>pass it on to others</t>
        </is>
      </c>
      <c r="F12" s="30" t="n"/>
      <c r="G12" s="11">
        <f>IFERROR(INDEX('Base Runes'!$G:$G,MATCH($B12,'Base Runes'!$A:$A,0)),"")</f>
        <v/>
      </c>
      <c r="H12" s="30" t="n"/>
      <c r="I12" s="10" t="n"/>
      <c r="J12" s="10" t="n"/>
    </row>
    <row r="13" ht="30" customHeight="1">
      <c r="A13" s="26" t="n">
        <v>4</v>
      </c>
      <c r="B13" s="10" t="inlineStr">
        <is>
          <t>POI-4b</t>
        </is>
      </c>
      <c r="C13" s="27">
        <f>IFERROR(INDEX('Base Runes'!$D:$D,MATCH($B13,'Base Runes'!$A:$A,0)),"")</f>
        <v/>
      </c>
      <c r="D13" s="31">
        <f>IFERROR(INDEX('Base Runes'!$E:$E,MATCH($B13,'Base Runes'!$A:$A,0)),"")</f>
        <v/>
      </c>
      <c r="E13" s="10" t="inlineStr">
        <is>
          <t>build tolerance</t>
        </is>
      </c>
      <c r="F13" s="30" t="n"/>
      <c r="G13" s="11">
        <f>IFERROR(INDEX('Base Runes'!$G:$G,MATCH($B13,'Base Runes'!$A:$A,0)),"")</f>
        <v/>
      </c>
      <c r="H13" s="30" t="n"/>
      <c r="I13" s="10" t="n"/>
      <c r="J13" s="10" t="n"/>
    </row>
    <row r="14" ht="30" customHeight="1">
      <c r="A14" s="26" t="n">
        <v>5</v>
      </c>
      <c r="B14" s="10" t="inlineStr">
        <is>
          <t>POI-5a</t>
        </is>
      </c>
      <c r="C14" s="27">
        <f>IFERROR(INDEX('Base Runes'!$D:$D,MATCH($B14,'Base Runes'!$A:$A,0)),"")</f>
        <v/>
      </c>
      <c r="D14" s="31">
        <f>IFERROR(INDEX('Base Runes'!$E:$E,MATCH($B14,'Base Runes'!$A:$A,0)),"")</f>
        <v/>
      </c>
      <c r="E14" s="10" t="inlineStr">
        <is>
          <t>leave residue that stays</t>
        </is>
      </c>
      <c r="F14" s="30" t="n"/>
      <c r="G14" s="11">
        <f>IFERROR(INDEX('Base Runes'!$G:$G,MATCH($B14,'Base Runes'!$A:$A,0)),"")</f>
        <v/>
      </c>
      <c r="H14" s="30" t="n"/>
      <c r="I14" s="10" t="n"/>
      <c r="J14" s="10" t="n"/>
    </row>
    <row r="15" ht="30" customHeight="1">
      <c r="A15" s="26" t="n">
        <v>5</v>
      </c>
      <c r="B15" s="10" t="inlineStr">
        <is>
          <t>POI-5b</t>
        </is>
      </c>
      <c r="C15" s="27">
        <f>IFERROR(INDEX('Base Runes'!$D:$D,MATCH($B15,'Base Runes'!$A:$A,0)),"")</f>
        <v/>
      </c>
      <c r="D15" s="31">
        <f>IFERROR(INDEX('Base Runes'!$E:$E,MATCH($B15,'Base Runes'!$A:$A,0)),"")</f>
        <v/>
      </c>
      <c r="E15" s="10" t="inlineStr">
        <is>
          <t>clean an area out</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xl/worksheets/sheet20.xml><?xml version="1.0" encoding="utf-8"?>
<worksheet xmlns="http://schemas.openxmlformats.org/spreadsheetml/2006/main">
  <sheetPr>
    <tabColor rgb="006B6B3A"/>
    <outlinePr summaryBelow="1" summaryRight="1"/>
    <pageSetUpPr/>
  </sheetPr>
  <dimension ref="A1:J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6" customWidth="1" min="3" max="3"/>
    <col width="11" customWidth="1" min="4" max="4"/>
    <col width="46" customWidth="1" min="5" max="5"/>
    <col width="46" customWidth="1" min="6" max="6"/>
    <col width="16" customWidth="1" min="7" max="7"/>
    <col width="40" customWidth="1" min="8" max="8"/>
    <col width="30" customWidth="1" min="9" max="9"/>
    <col width="30" customWidth="1" min="10" max="10"/>
  </cols>
  <sheetData>
    <row r="1">
      <c r="A1" s="25" t="inlineStr">
        <is>
          <t>Disease</t>
        </is>
      </c>
    </row>
    <row r="2">
      <c r="A2" s="4" t="inlineStr">
        <is>
          <t>Rule: A cloud that only harms flesh</t>
        </is>
      </c>
    </row>
    <row r="3" ht="30" customHeight="1">
      <c r="A3" s="2" t="inlineStr">
        <is>
          <t>Armour, stone and constructs ignore it; it lingers and drifts.  Status: First pass.  Source: B 2026-10-21: renamed from Miasma; C: miasma is flesh-only and armour counters it; MODEL: the rest.</t>
        </is>
      </c>
    </row>
    <row r="5" ht="30" customHeight="1">
      <c r="A5" s="8" t="inlineStr">
        <is>
          <t>Pair</t>
        </is>
      </c>
      <c r="B5" s="8" t="inlineStr">
        <is>
          <t>ID</t>
        </is>
      </c>
      <c r="C5" s="8" t="inlineStr">
        <is>
          <t>Rune</t>
        </is>
      </c>
      <c r="D5" s="8" t="inlineStr">
        <is>
          <t>Character</t>
        </is>
      </c>
      <c r="E5" s="8" t="inlineStr">
        <is>
          <t>As a skill (the verb a skill is built on)</t>
        </is>
      </c>
      <c r="F5" s="8" t="inlineStr">
        <is>
          <t>As a means (added to another skill)</t>
        </is>
      </c>
      <c r="G5" s="8" t="inlineStr">
        <is>
          <t>Opposite</t>
        </is>
      </c>
      <c r="H5" s="8" t="inlineStr">
        <is>
          <t>Together (rune + opposite release)</t>
        </is>
      </c>
      <c r="I5" s="8" t="inlineStr">
        <is>
          <t>Skills on it</t>
        </is>
      </c>
      <c r="J5" s="8" t="inlineStr">
        <is>
          <t>Notes</t>
        </is>
      </c>
    </row>
    <row r="6" ht="30" customHeight="1">
      <c r="A6" s="26" t="n">
        <v>1</v>
      </c>
      <c r="B6" s="10" t="inlineStr">
        <is>
          <t>DIS-1a</t>
        </is>
      </c>
      <c r="C6" s="27">
        <f>IFERROR(INDEX('Base Runes'!$D:$D,MATCH($B6,'Base Runes'!$A:$A,0)),"")</f>
        <v/>
      </c>
      <c r="D6" s="31">
        <f>IFERROR(INDEX('Base Runes'!$E:$E,MATCH($B6,'Base Runes'!$A:$A,0)),"")</f>
        <v/>
      </c>
      <c r="E6" s="10" t="inlineStr">
        <is>
          <t>spread the cloud</t>
        </is>
      </c>
      <c r="F6" s="30" t="n"/>
      <c r="G6" s="11">
        <f>IFERROR(INDEX('Base Runes'!$G:$G,MATCH($B6,'Base Runes'!$A:$A,0)),"")</f>
        <v/>
      </c>
      <c r="H6" s="30" t="n"/>
      <c r="I6" s="10" t="n"/>
      <c r="J6" s="10" t="n"/>
    </row>
    <row r="7" ht="30" customHeight="1">
      <c r="A7" s="26" t="n">
        <v>1</v>
      </c>
      <c r="B7" s="10" t="inlineStr">
        <is>
          <t>DIS-1b</t>
        </is>
      </c>
      <c r="C7" s="27">
        <f>IFERROR(INDEX('Base Runes'!$D:$D,MATCH($B7,'Base Runes'!$A:$A,0)),"")</f>
        <v/>
      </c>
      <c r="D7" s="31">
        <f>IFERROR(INDEX('Base Runes'!$E:$E,MATCH($B7,'Base Runes'!$A:$A,0)),"")</f>
        <v/>
      </c>
      <c r="E7" s="10" t="inlineStr">
        <is>
          <t>disperse it</t>
        </is>
      </c>
      <c r="F7" s="30" t="n"/>
      <c r="G7" s="11">
        <f>IFERROR(INDEX('Base Runes'!$G:$G,MATCH($B7,'Base Runes'!$A:$A,0)),"")</f>
        <v/>
      </c>
      <c r="H7" s="30" t="n"/>
      <c r="I7" s="10" t="n"/>
      <c r="J7" s="10" t="n"/>
    </row>
    <row r="8" ht="30" customHeight="1">
      <c r="A8" s="26" t="n">
        <v>2</v>
      </c>
      <c r="B8" s="10" t="inlineStr">
        <is>
          <t>DIS-2a</t>
        </is>
      </c>
      <c r="C8" s="27">
        <f>IFERROR(INDEX('Base Runes'!$D:$D,MATCH($B8,'Base Runes'!$A:$A,0)),"")</f>
        <v/>
      </c>
      <c r="D8" s="31">
        <f>IFERROR(INDEX('Base Runes'!$E:$E,MATCH($B8,'Base Runes'!$A:$A,0)),"")</f>
        <v/>
      </c>
      <c r="E8" s="10" t="inlineStr">
        <is>
          <t>wounds rot</t>
        </is>
      </c>
      <c r="F8" s="30" t="n"/>
      <c r="G8" s="11">
        <f>IFERROR(INDEX('Base Runes'!$G:$G,MATCH($B8,'Base Runes'!$A:$A,0)),"")</f>
        <v/>
      </c>
      <c r="H8" s="30" t="n"/>
      <c r="I8" s="10" t="n"/>
      <c r="J8" s="10" t="n"/>
    </row>
    <row r="9" ht="30" customHeight="1">
      <c r="A9" s="26" t="n">
        <v>2</v>
      </c>
      <c r="B9" s="10" t="inlineStr">
        <is>
          <t>DIS-2b</t>
        </is>
      </c>
      <c r="C9" s="27">
        <f>IFERROR(INDEX('Base Runes'!$D:$D,MATCH($B9,'Base Runes'!$A:$A,0)),"")</f>
        <v/>
      </c>
      <c r="D9" s="31">
        <f>IFERROR(INDEX('Base Runes'!$E:$E,MATCH($B9,'Base Runes'!$A:$A,0)),"")</f>
        <v/>
      </c>
      <c r="E9" s="10" t="inlineStr">
        <is>
          <t>wounds closed off</t>
        </is>
      </c>
      <c r="F9" s="30" t="n"/>
      <c r="G9" s="11">
        <f>IFERROR(INDEX('Base Runes'!$G:$G,MATCH($B9,'Base Runes'!$A:$A,0)),"")</f>
        <v/>
      </c>
      <c r="H9" s="30" t="n"/>
      <c r="I9" s="10" t="n"/>
      <c r="J9" s="10" t="n"/>
    </row>
    <row r="10" ht="30" customHeight="1">
      <c r="A10" s="26" t="n">
        <v>3</v>
      </c>
      <c r="B10" s="10" t="inlineStr">
        <is>
          <t>DIS-3a</t>
        </is>
      </c>
      <c r="C10" s="27">
        <f>IFERROR(INDEX('Base Runes'!$D:$D,MATCH($B10,'Base Runes'!$A:$A,0)),"")</f>
        <v/>
      </c>
      <c r="D10" s="31">
        <f>IFERROR(INDEX('Base Runes'!$E:$E,MATCH($B10,'Base Runes'!$A:$A,0)),"")</f>
        <v/>
      </c>
      <c r="E10" s="10" t="inlineStr">
        <is>
          <t>suffocate</t>
        </is>
      </c>
      <c r="F10" s="30" t="n"/>
      <c r="G10" s="11">
        <f>IFERROR(INDEX('Base Runes'!$G:$G,MATCH($B10,'Base Runes'!$A:$A,0)),"")</f>
        <v/>
      </c>
      <c r="H10" s="30" t="n"/>
      <c r="I10" s="10" t="n"/>
      <c r="J10" s="10" t="n"/>
    </row>
    <row r="11" ht="30" customHeight="1">
      <c r="A11" s="26" t="n">
        <v>3</v>
      </c>
      <c r="B11" s="10" t="inlineStr">
        <is>
          <t>DIS-3b</t>
        </is>
      </c>
      <c r="C11" s="27">
        <f>IFERROR(INDEX('Base Runes'!$D:$D,MATCH($B11,'Base Runes'!$A:$A,0)),"")</f>
        <v/>
      </c>
      <c r="D11" s="31">
        <f>IFERROR(INDEX('Base Runes'!$E:$E,MATCH($B11,'Base Runes'!$A:$A,0)),"")</f>
        <v/>
      </c>
      <c r="E11" s="10" t="inlineStr">
        <is>
          <t>give air</t>
        </is>
      </c>
      <c r="F11" s="30" t="n"/>
      <c r="G11" s="11">
        <f>IFERROR(INDEX('Base Runes'!$G:$G,MATCH($B11,'Base Runes'!$A:$A,0)),"")</f>
        <v/>
      </c>
      <c r="H11" s="30" t="n"/>
      <c r="I11" s="10" t="n"/>
      <c r="J11" s="10" t="n"/>
    </row>
    <row r="12" ht="30" customHeight="1">
      <c r="A12" s="26" t="n">
        <v>4</v>
      </c>
      <c r="B12" s="10" t="inlineStr">
        <is>
          <t>DIS-4a</t>
        </is>
      </c>
      <c r="C12" s="27">
        <f>IFERROR(INDEX('Base Runes'!$D:$D,MATCH($B12,'Base Runes'!$A:$A,0)),"")</f>
        <v/>
      </c>
      <c r="D12" s="31">
        <f>IFERROR(INDEX('Base Runes'!$E:$E,MATCH($B12,'Base Runes'!$A:$A,0)),"")</f>
        <v/>
      </c>
      <c r="E12" s="10" t="inlineStr">
        <is>
          <t>it sticks to flesh and follows</t>
        </is>
      </c>
      <c r="F12" s="30" t="n"/>
      <c r="G12" s="11">
        <f>IFERROR(INDEX('Base Runes'!$G:$G,MATCH($B12,'Base Runes'!$A:$A,0)),"")</f>
        <v/>
      </c>
      <c r="H12" s="30" t="n"/>
      <c r="I12" s="10" t="n"/>
      <c r="J12" s="10" t="n"/>
    </row>
    <row r="13" ht="30" customHeight="1">
      <c r="A13" s="26" t="n">
        <v>4</v>
      </c>
      <c r="B13" s="10" t="inlineStr">
        <is>
          <t>DIS-4b</t>
        </is>
      </c>
      <c r="C13" s="27">
        <f>IFERROR(INDEX('Base Runes'!$D:$D,MATCH($B13,'Base Runes'!$A:$A,0)),"")</f>
        <v/>
      </c>
      <c r="D13" s="31">
        <f>IFERROR(INDEX('Base Runes'!$E:$E,MATCH($B13,'Base Runes'!$A:$A,0)),"")</f>
        <v/>
      </c>
      <c r="E13" s="10" t="inlineStr">
        <is>
          <t>it rises away</t>
        </is>
      </c>
      <c r="F13" s="30" t="n"/>
      <c r="G13" s="11">
        <f>IFERROR(INDEX('Base Runes'!$G:$G,MATCH($B13,'Base Runes'!$A:$A,0)),"")</f>
        <v/>
      </c>
      <c r="H13" s="30" t="n"/>
      <c r="I13" s="10" t="n"/>
      <c r="J13" s="10" t="n"/>
    </row>
    <row r="14" ht="30" customHeight="1">
      <c r="A14" s="26" t="n">
        <v>5</v>
      </c>
      <c r="B14" s="10" t="inlineStr">
        <is>
          <t>DIS-5a</t>
        </is>
      </c>
      <c r="C14" s="27">
        <f>IFERROR(INDEX('Base Runes'!$D:$D,MATCH($B14,'Base Runes'!$A:$A,0)),"")</f>
        <v/>
      </c>
      <c r="D14" s="31">
        <f>IFERROR(INDEX('Base Runes'!$E:$E,MATCH($B14,'Base Runes'!$A:$A,0)),"")</f>
        <v/>
      </c>
      <c r="E14" s="10" t="inlineStr">
        <is>
          <t>it jumps body to body</t>
        </is>
      </c>
      <c r="F14" s="30" t="n"/>
      <c r="G14" s="11">
        <f>IFERROR(INDEX('Base Runes'!$G:$G,MATCH($B14,'Base Runes'!$A:$A,0)),"")</f>
        <v/>
      </c>
      <c r="H14" s="30" t="n"/>
      <c r="I14" s="10" t="n"/>
      <c r="J14" s="10" t="n"/>
    </row>
    <row r="15" ht="30" customHeight="1">
      <c r="A15" s="26" t="n">
        <v>5</v>
      </c>
      <c r="B15" s="10" t="inlineStr">
        <is>
          <t>DIS-5b</t>
        </is>
      </c>
      <c r="C15" s="27">
        <f>IFERROR(INDEX('Base Runes'!$D:$D,MATCH($B15,'Base Runes'!$A:$A,0)),"")</f>
        <v/>
      </c>
      <c r="D15" s="31">
        <f>IFERROR(INDEX('Base Runes'!$E:$E,MATCH($B15,'Base Runes'!$A:$A,0)),"")</f>
        <v/>
      </c>
      <c r="E15" s="10" t="inlineStr">
        <is>
          <t>it stays in one</t>
        </is>
      </c>
      <c r="F15" s="30" t="n"/>
      <c r="G15" s="11">
        <f>IFERROR(INDEX('Base Runes'!$G:$G,MATCH($B15,'Base Runes'!$A:$A,0)),"")</f>
        <v/>
      </c>
      <c r="H15" s="30" t="n"/>
      <c r="I15" s="10" t="n"/>
      <c r="J15" s="10" t="n"/>
    </row>
    <row r="17">
      <c r="A17" s="29" t="inlineStr">
        <is>
          <t>Blue: type here.  Green: pulled from Base Runes (rename a rune or change its character there).  Yellow: not written yet.</t>
        </is>
      </c>
    </row>
  </sheetData>
  <mergeCells count="2">
    <mergeCell ref="A3:J3"/>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2026-10-22T16:28:58Z</dcterms:created>
  <dcterms:modified xmlns:dcterms="http://purl.org/dc/terms/" xmlns:xsi="http://www.w3.org/2001/XMLSchema-instance" xsi:type="dcterms:W3CDTF">2026-10-22T16:28:58Z</dcterms:modified>
</cp:coreProperties>
</file>