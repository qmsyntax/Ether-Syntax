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Code\lifesteal-crawler\design\"/>
    </mc:Choice>
  </mc:AlternateContent>
  <xr:revisionPtr revIDLastSave="0" documentId="13_ncr:1_{684AD401-4726-4428-8974-7DE54CA8E1EB}" xr6:coauthVersionLast="47" xr6:coauthVersionMax="47" xr10:uidLastSave="{00000000-0000-0000-0000-000000000000}"/>
  <bookViews>
    <workbookView xWindow="-120" yWindow="-120" windowWidth="29040" windowHeight="15720" activeTab="3" xr2:uid="{00000000-000D-0000-FFFF-FFFF00000000}"/>
  </bookViews>
  <sheets>
    <sheet name="Read Me" sheetId="1" r:id="rId1"/>
    <sheet name="Affinities" sheetId="2" r:id="rId2"/>
    <sheet name="Alignment" sheetId="22" r:id="rId3"/>
    <sheet name="Base Runes" sheetId="3" r:id="rId4"/>
    <sheet name="Universal Runes" sheetId="4" r:id="rId5"/>
    <sheet name="Bond Rules" sheetId="23" r:id="rId6"/>
    <sheet name="Water" sheetId="5" r:id="rId7"/>
    <sheet name="Fire" sheetId="6" r:id="rId8"/>
    <sheet name="Earth" sheetId="7" r:id="rId9"/>
    <sheet name="Wind" sheetId="8" r:id="rId10"/>
    <sheet name="Lightning" sheetId="9" r:id="rId11"/>
    <sheet name="Ice" sheetId="10" r:id="rId12"/>
    <sheet name="Dark" sheetId="11" r:id="rId13"/>
    <sheet name="Metal" sheetId="12" r:id="rId14"/>
    <sheet name="Blood" sheetId="13" r:id="rId15"/>
    <sheet name="Life" sheetId="14" r:id="rId16"/>
    <sheet name="Death" sheetId="15" r:id="rId17"/>
    <sheet name="Nature" sheetId="16" r:id="rId18"/>
    <sheet name="Light" sheetId="17" r:id="rId19"/>
    <sheet name="Dream" sheetId="18" r:id="rId20"/>
    <sheet name="Poison" sheetId="19" r:id="rId21"/>
    <sheet name="Disease" sheetId="20" r:id="rId22"/>
    <sheet name="Slider Links" sheetId="21" r:id="rId23"/>
  </sheets>
  <definedNames>
    <definedName name="_xlnm._FilterDatabase" localSheetId="3" hidden="1">'Base Runes'!$A$1:$N$167</definedName>
    <definedName name="_xlnm._FilterDatabase" localSheetId="4" hidden="1">'Universal Runes'!$A$1:$G$57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7" i="3" l="1"/>
  <c r="M167" i="3"/>
  <c r="N166" i="3"/>
  <c r="M166" i="3"/>
  <c r="N165" i="3"/>
  <c r="M165" i="3"/>
  <c r="N164" i="3"/>
  <c r="M164" i="3"/>
  <c r="N163" i="3"/>
  <c r="M163" i="3"/>
  <c r="N162" i="3"/>
  <c r="M162" i="3"/>
  <c r="N161" i="3"/>
  <c r="M161" i="3"/>
  <c r="N160" i="3"/>
  <c r="M160" i="3"/>
  <c r="N159" i="3"/>
  <c r="M159" i="3"/>
  <c r="N158" i="3"/>
  <c r="M158" i="3"/>
  <c r="N157" i="3"/>
  <c r="M157" i="3"/>
  <c r="N156" i="3"/>
  <c r="M156" i="3"/>
  <c r="N155" i="3"/>
  <c r="M155" i="3"/>
  <c r="N154" i="3"/>
  <c r="M154" i="3"/>
  <c r="N153" i="3"/>
  <c r="M153" i="3"/>
  <c r="N152" i="3"/>
  <c r="M152" i="3"/>
  <c r="N151" i="3"/>
  <c r="M151" i="3"/>
  <c r="N150" i="3"/>
  <c r="M150" i="3"/>
  <c r="N149" i="3"/>
  <c r="M149" i="3"/>
  <c r="N148" i="3"/>
  <c r="M148" i="3"/>
  <c r="N147" i="3"/>
  <c r="M147" i="3"/>
  <c r="N146" i="3"/>
  <c r="M146" i="3"/>
  <c r="N145" i="3"/>
  <c r="M145" i="3"/>
  <c r="N144" i="3"/>
  <c r="M144" i="3"/>
  <c r="N143" i="3"/>
  <c r="M143" i="3"/>
  <c r="N142" i="3"/>
  <c r="M142" i="3"/>
  <c r="N141" i="3"/>
  <c r="M141" i="3"/>
  <c r="N140" i="3"/>
  <c r="M140" i="3"/>
  <c r="N139" i="3"/>
  <c r="M139" i="3"/>
  <c r="N138" i="3"/>
  <c r="M138" i="3"/>
  <c r="N137" i="3"/>
  <c r="M137" i="3"/>
  <c r="N136" i="3"/>
  <c r="M136" i="3"/>
  <c r="N135" i="3"/>
  <c r="M135" i="3"/>
  <c r="N134" i="3"/>
  <c r="M134" i="3"/>
  <c r="N133" i="3"/>
  <c r="M133" i="3"/>
  <c r="N132" i="3"/>
  <c r="M132" i="3"/>
  <c r="N131" i="3"/>
  <c r="M131" i="3"/>
  <c r="N130" i="3"/>
  <c r="M130" i="3"/>
  <c r="N129" i="3"/>
  <c r="M129" i="3"/>
  <c r="N128" i="3"/>
  <c r="M128" i="3"/>
  <c r="N127" i="3"/>
  <c r="M127" i="3"/>
  <c r="N126" i="3"/>
  <c r="M126" i="3"/>
  <c r="N125" i="3"/>
  <c r="M125" i="3"/>
  <c r="N124" i="3"/>
  <c r="M124" i="3"/>
  <c r="N123" i="3"/>
  <c r="M123" i="3"/>
  <c r="N122" i="3"/>
  <c r="M122" i="3"/>
  <c r="N121" i="3"/>
  <c r="M121" i="3"/>
  <c r="N120" i="3"/>
  <c r="M120" i="3"/>
  <c r="N119" i="3"/>
  <c r="M119" i="3"/>
  <c r="N118" i="3"/>
  <c r="M118" i="3"/>
  <c r="N117" i="3"/>
  <c r="M117" i="3"/>
  <c r="N116" i="3"/>
  <c r="M116" i="3"/>
  <c r="N115" i="3"/>
  <c r="M115" i="3"/>
  <c r="N114" i="3"/>
  <c r="M114" i="3"/>
  <c r="N113" i="3"/>
  <c r="M113" i="3"/>
  <c r="N112" i="3"/>
  <c r="M112" i="3"/>
  <c r="N111" i="3"/>
  <c r="M111" i="3"/>
  <c r="N110" i="3"/>
  <c r="M110" i="3"/>
  <c r="N109" i="3"/>
  <c r="M109" i="3"/>
  <c r="N108" i="3"/>
  <c r="M108" i="3"/>
  <c r="N107" i="3"/>
  <c r="M107" i="3"/>
  <c r="N106" i="3"/>
  <c r="M106" i="3"/>
  <c r="N105" i="3"/>
  <c r="M105" i="3"/>
  <c r="N104" i="3"/>
  <c r="M104" i="3"/>
  <c r="N103" i="3"/>
  <c r="M103" i="3"/>
  <c r="N102" i="3"/>
  <c r="M102" i="3"/>
  <c r="N101" i="3"/>
  <c r="M101" i="3"/>
  <c r="N100" i="3"/>
  <c r="M100" i="3"/>
  <c r="N99" i="3"/>
  <c r="M99" i="3"/>
  <c r="N98" i="3"/>
  <c r="M98" i="3"/>
  <c r="N97" i="3"/>
  <c r="M97" i="3"/>
  <c r="N96" i="3"/>
  <c r="M96" i="3"/>
  <c r="N95" i="3"/>
  <c r="M95" i="3"/>
  <c r="N94" i="3"/>
  <c r="M94" i="3"/>
  <c r="N93" i="3"/>
  <c r="M93" i="3"/>
  <c r="N92" i="3"/>
  <c r="M92" i="3"/>
  <c r="N91" i="3"/>
  <c r="M91" i="3"/>
  <c r="N90" i="3"/>
  <c r="M90" i="3"/>
  <c r="N89" i="3"/>
  <c r="M89" i="3"/>
  <c r="N88" i="3"/>
  <c r="M88" i="3"/>
  <c r="N87" i="3"/>
  <c r="M87" i="3"/>
  <c r="N86" i="3"/>
  <c r="M86" i="3"/>
  <c r="N85" i="3"/>
  <c r="M85" i="3"/>
  <c r="N84" i="3"/>
  <c r="M84" i="3"/>
  <c r="N83" i="3"/>
  <c r="M83" i="3"/>
  <c r="N82" i="3"/>
  <c r="M82" i="3"/>
  <c r="N81" i="3"/>
  <c r="M81" i="3"/>
  <c r="N80" i="3"/>
  <c r="M80" i="3"/>
  <c r="N79" i="3"/>
  <c r="M79" i="3"/>
  <c r="N78" i="3"/>
  <c r="M78" i="3"/>
  <c r="N77" i="3"/>
  <c r="M77" i="3"/>
  <c r="N76" i="3"/>
  <c r="M76" i="3"/>
  <c r="N75" i="3"/>
  <c r="M75" i="3"/>
  <c r="N74" i="3"/>
  <c r="M74" i="3"/>
  <c r="N73" i="3"/>
  <c r="M73" i="3"/>
  <c r="N72" i="3"/>
  <c r="M72" i="3"/>
  <c r="N71" i="3"/>
  <c r="M71" i="3"/>
  <c r="N70" i="3"/>
  <c r="M70" i="3"/>
  <c r="N69" i="3"/>
  <c r="M69" i="3"/>
  <c r="N68" i="3"/>
  <c r="M68" i="3"/>
  <c r="N67" i="3"/>
  <c r="M67" i="3"/>
  <c r="N66" i="3"/>
  <c r="M66" i="3"/>
  <c r="N65" i="3"/>
  <c r="M65" i="3"/>
  <c r="N64" i="3"/>
  <c r="M64" i="3"/>
  <c r="N63" i="3"/>
  <c r="M63" i="3"/>
  <c r="N62" i="3"/>
  <c r="M62" i="3"/>
  <c r="N61" i="3"/>
  <c r="M61" i="3"/>
  <c r="N60" i="3"/>
  <c r="M60" i="3"/>
  <c r="N59" i="3"/>
  <c r="M59" i="3"/>
  <c r="N58" i="3"/>
  <c r="M58" i="3"/>
  <c r="N57" i="3"/>
  <c r="M57" i="3"/>
  <c r="N56" i="3"/>
  <c r="M56" i="3"/>
  <c r="N55" i="3"/>
  <c r="M55" i="3"/>
  <c r="N54" i="3"/>
  <c r="M54" i="3"/>
  <c r="N53" i="3"/>
  <c r="M53" i="3"/>
  <c r="N52" i="3"/>
  <c r="M52" i="3"/>
  <c r="N51" i="3"/>
  <c r="M51" i="3"/>
  <c r="N50" i="3"/>
  <c r="M50" i="3"/>
  <c r="N49" i="3"/>
  <c r="M49" i="3"/>
  <c r="N48" i="3"/>
  <c r="M48" i="3"/>
  <c r="N47" i="3"/>
  <c r="M47" i="3"/>
  <c r="N46" i="3"/>
  <c r="M46" i="3"/>
  <c r="N45" i="3"/>
  <c r="M45" i="3"/>
  <c r="N44" i="3"/>
  <c r="M44" i="3"/>
  <c r="N43" i="3"/>
  <c r="M43" i="3"/>
  <c r="N42" i="3"/>
  <c r="M42" i="3"/>
  <c r="N41" i="3"/>
  <c r="M41" i="3"/>
  <c r="N40" i="3"/>
  <c r="M40" i="3"/>
  <c r="N39" i="3"/>
  <c r="M39" i="3"/>
  <c r="N38" i="3"/>
  <c r="M38" i="3"/>
  <c r="N37" i="3"/>
  <c r="M37" i="3"/>
  <c r="N36" i="3"/>
  <c r="M36" i="3"/>
  <c r="N35" i="3"/>
  <c r="M35" i="3"/>
  <c r="N34" i="3"/>
  <c r="M34" i="3"/>
  <c r="N33" i="3"/>
  <c r="M33" i="3"/>
  <c r="N32" i="3"/>
  <c r="M32" i="3"/>
  <c r="N31" i="3"/>
  <c r="M31" i="3"/>
  <c r="N30" i="3"/>
  <c r="M30" i="3"/>
  <c r="N29" i="3"/>
  <c r="M29" i="3"/>
  <c r="N28" i="3"/>
  <c r="M28" i="3"/>
  <c r="N27" i="3"/>
  <c r="M27" i="3"/>
  <c r="N26" i="3"/>
  <c r="M26" i="3"/>
  <c r="N25" i="3"/>
  <c r="M25" i="3"/>
  <c r="N24" i="3"/>
  <c r="M24" i="3"/>
  <c r="N23" i="3"/>
  <c r="M23" i="3"/>
  <c r="N22" i="3"/>
  <c r="M22" i="3"/>
  <c r="N21" i="3"/>
  <c r="M21" i="3"/>
  <c r="N20" i="3"/>
  <c r="M20" i="3"/>
  <c r="N19" i="3"/>
  <c r="M19" i="3"/>
  <c r="N18" i="3"/>
  <c r="M18" i="3"/>
  <c r="N17" i="3"/>
  <c r="M17" i="3"/>
  <c r="N16" i="3"/>
  <c r="M16" i="3"/>
  <c r="N15" i="3"/>
  <c r="M15" i="3"/>
  <c r="N14" i="3"/>
  <c r="M14" i="3"/>
  <c r="N13" i="3"/>
  <c r="M13" i="3"/>
  <c r="N12" i="3"/>
  <c r="M12" i="3"/>
  <c r="N11" i="3"/>
  <c r="M11" i="3"/>
  <c r="N10" i="3"/>
  <c r="M10" i="3"/>
  <c r="N9" i="3"/>
  <c r="M9" i="3"/>
  <c r="N8" i="3"/>
  <c r="M8" i="3"/>
  <c r="N7" i="3"/>
  <c r="M7" i="3"/>
  <c r="N6" i="3"/>
  <c r="M6" i="3"/>
  <c r="N5" i="3"/>
  <c r="M5" i="3"/>
  <c r="N4" i="3"/>
  <c r="M4" i="3"/>
  <c r="N3" i="3"/>
  <c r="M3" i="3"/>
  <c r="N2" i="3"/>
  <c r="M2" i="3"/>
  <c r="G1" i="22"/>
  <c r="A7" i="22"/>
  <c r="F1" i="22"/>
  <c r="A6" i="22"/>
  <c r="K17" i="21"/>
  <c r="R17" i="2" s="1"/>
  <c r="J17" i="21"/>
  <c r="P17" i="2" s="1"/>
  <c r="I17" i="21"/>
  <c r="N17" i="2" s="1"/>
  <c r="H17" i="21"/>
  <c r="L17" i="2" s="1"/>
  <c r="G17" i="21"/>
  <c r="A17" i="21"/>
  <c r="K16" i="21"/>
  <c r="R16" i="2" s="1"/>
  <c r="J16" i="21"/>
  <c r="P16" i="2" s="1"/>
  <c r="I16" i="21"/>
  <c r="N16" i="2" s="1"/>
  <c r="H16" i="21"/>
  <c r="L16" i="2" s="1"/>
  <c r="G16" i="21"/>
  <c r="A16" i="21"/>
  <c r="K15" i="21"/>
  <c r="R15" i="2" s="1"/>
  <c r="J15" i="21"/>
  <c r="P15" i="2" s="1"/>
  <c r="I15" i="21"/>
  <c r="N15" i="2" s="1"/>
  <c r="H15" i="21"/>
  <c r="L15" i="2" s="1"/>
  <c r="G15" i="21"/>
  <c r="A15" i="21"/>
  <c r="K14" i="21"/>
  <c r="R14" i="2" s="1"/>
  <c r="J14" i="21"/>
  <c r="P14" i="2" s="1"/>
  <c r="I14" i="21"/>
  <c r="N14" i="2" s="1"/>
  <c r="H14" i="21"/>
  <c r="L14" i="2" s="1"/>
  <c r="G14" i="21"/>
  <c r="A14" i="21"/>
  <c r="K13" i="21"/>
  <c r="R13" i="2" s="1"/>
  <c r="J13" i="21"/>
  <c r="P13" i="2" s="1"/>
  <c r="I13" i="21"/>
  <c r="N13" i="2" s="1"/>
  <c r="H13" i="21"/>
  <c r="L13" i="2" s="1"/>
  <c r="G13" i="21"/>
  <c r="A13" i="21"/>
  <c r="K12" i="21"/>
  <c r="R12" i="2" s="1"/>
  <c r="J12" i="21"/>
  <c r="P12" i="2" s="1"/>
  <c r="I12" i="21"/>
  <c r="N12" i="2" s="1"/>
  <c r="H12" i="21"/>
  <c r="L12" i="2" s="1"/>
  <c r="G12" i="21"/>
  <c r="A12" i="21"/>
  <c r="K11" i="21"/>
  <c r="R11" i="2" s="1"/>
  <c r="J11" i="21"/>
  <c r="P11" i="2" s="1"/>
  <c r="I11" i="21"/>
  <c r="H11" i="21"/>
  <c r="L11" i="2" s="1"/>
  <c r="G11" i="21"/>
  <c r="A11" i="21"/>
  <c r="K10" i="21"/>
  <c r="R10" i="2" s="1"/>
  <c r="J10" i="21"/>
  <c r="P10" i="2" s="1"/>
  <c r="I10" i="21"/>
  <c r="N10" i="2" s="1"/>
  <c r="H10" i="21"/>
  <c r="L10" i="2" s="1"/>
  <c r="G10" i="21"/>
  <c r="A10" i="21"/>
  <c r="K9" i="21"/>
  <c r="R9" i="2" s="1"/>
  <c r="J9" i="21"/>
  <c r="P9" i="2" s="1"/>
  <c r="I9" i="21"/>
  <c r="N9" i="2" s="1"/>
  <c r="H9" i="21"/>
  <c r="L9" i="2" s="1"/>
  <c r="G9" i="21"/>
  <c r="A9" i="21"/>
  <c r="K8" i="21"/>
  <c r="R8" i="2" s="1"/>
  <c r="J8" i="21"/>
  <c r="P8" i="2" s="1"/>
  <c r="I8" i="21"/>
  <c r="N8" i="2" s="1"/>
  <c r="H8" i="21"/>
  <c r="L8" i="2" s="1"/>
  <c r="G8" i="21"/>
  <c r="A8" i="21"/>
  <c r="K7" i="21"/>
  <c r="J7" i="21"/>
  <c r="P7" i="2" s="1"/>
  <c r="I7" i="21"/>
  <c r="N7" i="2" s="1"/>
  <c r="H7" i="21"/>
  <c r="L7" i="2" s="1"/>
  <c r="G7" i="21"/>
  <c r="J7" i="2" s="1"/>
  <c r="A7" i="21"/>
  <c r="K6" i="21"/>
  <c r="R6" i="2" s="1"/>
  <c r="J6" i="21"/>
  <c r="P6" i="2" s="1"/>
  <c r="I6" i="21"/>
  <c r="N6" i="2" s="1"/>
  <c r="H6" i="21"/>
  <c r="L6" i="2" s="1"/>
  <c r="G6" i="21"/>
  <c r="A6" i="21"/>
  <c r="K5" i="21"/>
  <c r="R5" i="2" s="1"/>
  <c r="J5" i="21"/>
  <c r="P5" i="2" s="1"/>
  <c r="I5" i="21"/>
  <c r="N5" i="2" s="1"/>
  <c r="H5" i="21"/>
  <c r="L5" i="2" s="1"/>
  <c r="G5" i="21"/>
  <c r="A5" i="21"/>
  <c r="K4" i="21"/>
  <c r="R4" i="2" s="1"/>
  <c r="J4" i="21"/>
  <c r="P4" i="2" s="1"/>
  <c r="I4" i="21"/>
  <c r="N4" i="2" s="1"/>
  <c r="H4" i="21"/>
  <c r="L4" i="2" s="1"/>
  <c r="G4" i="21"/>
  <c r="A4" i="21"/>
  <c r="K3" i="21"/>
  <c r="R3" i="2" s="1"/>
  <c r="J3" i="21"/>
  <c r="P3" i="2" s="1"/>
  <c r="I3" i="21"/>
  <c r="N3" i="2" s="1"/>
  <c r="H3" i="21"/>
  <c r="G3" i="21"/>
  <c r="A3" i="21"/>
  <c r="K2" i="21"/>
  <c r="R2" i="2" s="1"/>
  <c r="J2" i="21"/>
  <c r="P2" i="2" s="1"/>
  <c r="I2" i="21"/>
  <c r="N2" i="2" s="1"/>
  <c r="H2" i="21"/>
  <c r="L2" i="2" s="1"/>
  <c r="G2" i="21"/>
  <c r="A2" i="21"/>
  <c r="D15" i="20"/>
  <c r="C15" i="20"/>
  <c r="D14" i="20"/>
  <c r="C14" i="20"/>
  <c r="D13" i="20"/>
  <c r="C13" i="20"/>
  <c r="D12" i="20"/>
  <c r="C12" i="20"/>
  <c r="D11" i="20"/>
  <c r="C11" i="20"/>
  <c r="D10" i="20"/>
  <c r="C10" i="20"/>
  <c r="D9" i="20"/>
  <c r="C9" i="20"/>
  <c r="D8" i="20"/>
  <c r="C8" i="20"/>
  <c r="D7" i="20"/>
  <c r="C7" i="20"/>
  <c r="D6" i="20"/>
  <c r="C6" i="20"/>
  <c r="D15" i="19"/>
  <c r="C15" i="19"/>
  <c r="D14" i="19"/>
  <c r="C14" i="19"/>
  <c r="D13" i="19"/>
  <c r="C13" i="19"/>
  <c r="D12" i="19"/>
  <c r="C12" i="19"/>
  <c r="D11" i="19"/>
  <c r="C11" i="19"/>
  <c r="D10" i="19"/>
  <c r="C10" i="19"/>
  <c r="D9" i="19"/>
  <c r="C9" i="19"/>
  <c r="D8" i="19"/>
  <c r="C8" i="19"/>
  <c r="D7" i="19"/>
  <c r="C7" i="19"/>
  <c r="D6" i="19"/>
  <c r="C6" i="19"/>
  <c r="D15" i="18"/>
  <c r="C15" i="18"/>
  <c r="D14" i="18"/>
  <c r="C14" i="18"/>
  <c r="D13" i="18"/>
  <c r="C13" i="18"/>
  <c r="D12" i="18"/>
  <c r="C12" i="18"/>
  <c r="D11" i="18"/>
  <c r="C11" i="18"/>
  <c r="D10" i="18"/>
  <c r="C10" i="18"/>
  <c r="D9" i="18"/>
  <c r="C9" i="18"/>
  <c r="D8" i="18"/>
  <c r="C8" i="18"/>
  <c r="D7" i="18"/>
  <c r="C7" i="18"/>
  <c r="D6" i="18"/>
  <c r="C6" i="18"/>
  <c r="D15" i="17"/>
  <c r="C15" i="17"/>
  <c r="D14" i="17"/>
  <c r="C14" i="17"/>
  <c r="D13" i="17"/>
  <c r="C13" i="17"/>
  <c r="D12" i="17"/>
  <c r="C12" i="17"/>
  <c r="D11" i="17"/>
  <c r="C11" i="17"/>
  <c r="D10" i="17"/>
  <c r="C10" i="17"/>
  <c r="D9" i="17"/>
  <c r="C9" i="17"/>
  <c r="D8" i="17"/>
  <c r="C8" i="17"/>
  <c r="D7" i="17"/>
  <c r="C7" i="17"/>
  <c r="D6" i="17"/>
  <c r="C6" i="17"/>
  <c r="D15" i="16"/>
  <c r="C15" i="16"/>
  <c r="D14" i="16"/>
  <c r="C14" i="16"/>
  <c r="D13" i="16"/>
  <c r="C13" i="16"/>
  <c r="D12" i="16"/>
  <c r="C12" i="16"/>
  <c r="D11" i="16"/>
  <c r="C11" i="16"/>
  <c r="D10" i="16"/>
  <c r="C10" i="16"/>
  <c r="D9" i="16"/>
  <c r="C9" i="16"/>
  <c r="D8" i="16"/>
  <c r="C8" i="16"/>
  <c r="D7" i="16"/>
  <c r="C7" i="16"/>
  <c r="D6" i="16"/>
  <c r="C6" i="16"/>
  <c r="D15" i="15"/>
  <c r="C15" i="15"/>
  <c r="D14" i="15"/>
  <c r="C14" i="15"/>
  <c r="D13" i="15"/>
  <c r="C13" i="15"/>
  <c r="D12" i="15"/>
  <c r="C12" i="15"/>
  <c r="D11" i="15"/>
  <c r="C11" i="15"/>
  <c r="D10" i="15"/>
  <c r="C10" i="15"/>
  <c r="D9" i="15"/>
  <c r="C9" i="15"/>
  <c r="D8" i="15"/>
  <c r="C8" i="15"/>
  <c r="D7" i="15"/>
  <c r="C7" i="15"/>
  <c r="D6" i="15"/>
  <c r="C6" i="15"/>
  <c r="D15" i="14"/>
  <c r="C15" i="14"/>
  <c r="D14" i="14"/>
  <c r="C14" i="14"/>
  <c r="D13" i="14"/>
  <c r="C13" i="14"/>
  <c r="D12" i="14"/>
  <c r="C12" i="14"/>
  <c r="D11" i="14"/>
  <c r="C11" i="14"/>
  <c r="D10" i="14"/>
  <c r="C10" i="14"/>
  <c r="D9" i="14"/>
  <c r="C9" i="14"/>
  <c r="D8" i="14"/>
  <c r="C8" i="14"/>
  <c r="D7" i="14"/>
  <c r="C7" i="14"/>
  <c r="D6" i="14"/>
  <c r="C6" i="14"/>
  <c r="D15" i="13"/>
  <c r="C15" i="13"/>
  <c r="D14" i="13"/>
  <c r="C14" i="13"/>
  <c r="D13" i="13"/>
  <c r="C13" i="13"/>
  <c r="D12" i="13"/>
  <c r="C12" i="13"/>
  <c r="D11" i="13"/>
  <c r="C11" i="13"/>
  <c r="D10" i="13"/>
  <c r="C10" i="13"/>
  <c r="D9" i="13"/>
  <c r="C9" i="13"/>
  <c r="D8" i="13"/>
  <c r="C8" i="13"/>
  <c r="D7" i="13"/>
  <c r="C7" i="13"/>
  <c r="D6" i="13"/>
  <c r="C6" i="13"/>
  <c r="D15" i="12"/>
  <c r="C15" i="12"/>
  <c r="D14" i="12"/>
  <c r="C14" i="12"/>
  <c r="D13" i="12"/>
  <c r="C13" i="12"/>
  <c r="D12" i="12"/>
  <c r="C12" i="12"/>
  <c r="D11" i="12"/>
  <c r="C11" i="12"/>
  <c r="D10" i="12"/>
  <c r="C10" i="12"/>
  <c r="D9" i="12"/>
  <c r="C9" i="12"/>
  <c r="D8" i="12"/>
  <c r="C8" i="12"/>
  <c r="D7" i="12"/>
  <c r="C7" i="12"/>
  <c r="D6" i="12"/>
  <c r="C6" i="12"/>
  <c r="D15" i="11"/>
  <c r="C15" i="11"/>
  <c r="D14" i="11"/>
  <c r="C14" i="11"/>
  <c r="D13" i="11"/>
  <c r="C13" i="11"/>
  <c r="D12" i="11"/>
  <c r="C12" i="11"/>
  <c r="D11" i="11"/>
  <c r="C11" i="11"/>
  <c r="D10" i="11"/>
  <c r="C10" i="11"/>
  <c r="D9" i="11"/>
  <c r="C9" i="11"/>
  <c r="D8" i="11"/>
  <c r="C8" i="11"/>
  <c r="D7" i="11"/>
  <c r="C7" i="11"/>
  <c r="D6" i="11"/>
  <c r="C6" i="11"/>
  <c r="D15" i="10"/>
  <c r="C15" i="10"/>
  <c r="D14" i="10"/>
  <c r="C14" i="10"/>
  <c r="D13" i="10"/>
  <c r="C13" i="10"/>
  <c r="D12" i="10"/>
  <c r="C12" i="10"/>
  <c r="D11" i="10"/>
  <c r="C11" i="10"/>
  <c r="D10" i="10"/>
  <c r="C10" i="10"/>
  <c r="D9" i="10"/>
  <c r="C9" i="10"/>
  <c r="D8" i="10"/>
  <c r="C8" i="10"/>
  <c r="D7" i="10"/>
  <c r="C7" i="10"/>
  <c r="D6" i="10"/>
  <c r="C6" i="10"/>
  <c r="D15" i="9"/>
  <c r="C15" i="9"/>
  <c r="D14" i="9"/>
  <c r="C14" i="9"/>
  <c r="D13" i="9"/>
  <c r="C13" i="9"/>
  <c r="D12" i="9"/>
  <c r="C12" i="9"/>
  <c r="D11" i="9"/>
  <c r="C11" i="9"/>
  <c r="D10" i="9"/>
  <c r="C10" i="9"/>
  <c r="D9" i="9"/>
  <c r="C9" i="9"/>
  <c r="D8" i="9"/>
  <c r="C8" i="9"/>
  <c r="D7" i="9"/>
  <c r="C7" i="9"/>
  <c r="D6" i="9"/>
  <c r="C6" i="9"/>
  <c r="D15" i="8"/>
  <c r="C15" i="8"/>
  <c r="D14" i="8"/>
  <c r="C14" i="8"/>
  <c r="D13" i="8"/>
  <c r="C13" i="8"/>
  <c r="D12" i="8"/>
  <c r="C12" i="8"/>
  <c r="D11" i="8"/>
  <c r="C11" i="8"/>
  <c r="D10" i="8"/>
  <c r="C10" i="8"/>
  <c r="D9" i="8"/>
  <c r="C9" i="8"/>
  <c r="D8" i="8"/>
  <c r="C8" i="8"/>
  <c r="D7" i="8"/>
  <c r="C7" i="8"/>
  <c r="D6" i="8"/>
  <c r="C6" i="8"/>
  <c r="D15" i="7"/>
  <c r="C15" i="7"/>
  <c r="D14" i="7"/>
  <c r="C14" i="7"/>
  <c r="D13" i="7"/>
  <c r="C13" i="7"/>
  <c r="D12" i="7"/>
  <c r="C12" i="7"/>
  <c r="D11" i="7"/>
  <c r="C11" i="7"/>
  <c r="D10" i="7"/>
  <c r="C10" i="7"/>
  <c r="D9" i="7"/>
  <c r="C9" i="7"/>
  <c r="D8" i="7"/>
  <c r="C8" i="7"/>
  <c r="D7" i="7"/>
  <c r="C7" i="7"/>
  <c r="D6" i="7"/>
  <c r="C6" i="7"/>
  <c r="D15" i="6"/>
  <c r="C15" i="6"/>
  <c r="D14" i="6"/>
  <c r="C14" i="6"/>
  <c r="D13" i="6"/>
  <c r="C13" i="6"/>
  <c r="D12" i="6"/>
  <c r="C12" i="6"/>
  <c r="D11" i="6"/>
  <c r="C11" i="6"/>
  <c r="D10" i="6"/>
  <c r="C10" i="6"/>
  <c r="D9" i="6"/>
  <c r="C9" i="6"/>
  <c r="D8" i="6"/>
  <c r="C8" i="6"/>
  <c r="D7" i="6"/>
  <c r="C7" i="6"/>
  <c r="D6" i="6"/>
  <c r="C6" i="6"/>
  <c r="D21" i="5"/>
  <c r="C21" i="5"/>
  <c r="D20" i="5"/>
  <c r="C20" i="5"/>
  <c r="D19" i="5"/>
  <c r="C19" i="5"/>
  <c r="D18" i="5"/>
  <c r="C18" i="5"/>
  <c r="D17" i="5"/>
  <c r="C17" i="5"/>
  <c r="D16" i="5"/>
  <c r="C16" i="5"/>
  <c r="D15" i="5"/>
  <c r="C15" i="5"/>
  <c r="D14" i="5"/>
  <c r="C14" i="5"/>
  <c r="D13" i="5"/>
  <c r="C13" i="5"/>
  <c r="D12" i="5"/>
  <c r="C12" i="5"/>
  <c r="D11" i="5"/>
  <c r="C11" i="5"/>
  <c r="D10" i="5"/>
  <c r="C10" i="5"/>
  <c r="D9" i="5"/>
  <c r="C9" i="5"/>
  <c r="D8" i="5"/>
  <c r="C8" i="5"/>
  <c r="D7" i="5"/>
  <c r="C7" i="5"/>
  <c r="D6" i="5"/>
  <c r="C6" i="5"/>
  <c r="F57" i="4"/>
  <c r="E57" i="4"/>
  <c r="F56" i="4"/>
  <c r="E56" i="4"/>
  <c r="F55" i="4"/>
  <c r="E55" i="4"/>
  <c r="F54" i="4"/>
  <c r="E54" i="4"/>
  <c r="F53" i="4"/>
  <c r="E53" i="4"/>
  <c r="F52" i="4"/>
  <c r="E52" i="4"/>
  <c r="F51" i="4"/>
  <c r="E51" i="4"/>
  <c r="F50" i="4"/>
  <c r="E50" i="4"/>
  <c r="F49" i="4"/>
  <c r="E49" i="4"/>
  <c r="F48" i="4"/>
  <c r="E48"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F3" i="4"/>
  <c r="E3" i="4"/>
  <c r="F2" i="4"/>
  <c r="E2" i="4"/>
  <c r="I167" i="3"/>
  <c r="H167" i="3"/>
  <c r="G167" i="3"/>
  <c r="G15" i="20" s="1"/>
  <c r="I166" i="3"/>
  <c r="H166" i="3"/>
  <c r="G166" i="3"/>
  <c r="G14" i="20" s="1"/>
  <c r="I165" i="3"/>
  <c r="H165" i="3"/>
  <c r="G165" i="3"/>
  <c r="G13" i="20" s="1"/>
  <c r="I164" i="3"/>
  <c r="H164" i="3"/>
  <c r="G164" i="3"/>
  <c r="G12" i="20" s="1"/>
  <c r="I163" i="3"/>
  <c r="H163" i="3"/>
  <c r="G163" i="3"/>
  <c r="G11" i="20" s="1"/>
  <c r="I162" i="3"/>
  <c r="H162" i="3"/>
  <c r="G162" i="3"/>
  <c r="G10" i="20" s="1"/>
  <c r="I161" i="3"/>
  <c r="H161" i="3"/>
  <c r="G161" i="3"/>
  <c r="G9" i="20" s="1"/>
  <c r="I160" i="3"/>
  <c r="H160" i="3"/>
  <c r="G160" i="3"/>
  <c r="G8" i="20" s="1"/>
  <c r="I159" i="3"/>
  <c r="H159" i="3"/>
  <c r="G159" i="3"/>
  <c r="G7" i="20" s="1"/>
  <c r="I158" i="3"/>
  <c r="H158" i="3"/>
  <c r="G158" i="3"/>
  <c r="G6" i="20" s="1"/>
  <c r="I157" i="3"/>
  <c r="H157" i="3"/>
  <c r="G157" i="3"/>
  <c r="G15" i="19" s="1"/>
  <c r="I156" i="3"/>
  <c r="H156" i="3"/>
  <c r="G156" i="3"/>
  <c r="G14" i="19" s="1"/>
  <c r="I155" i="3"/>
  <c r="H155" i="3"/>
  <c r="G155" i="3"/>
  <c r="G13" i="19" s="1"/>
  <c r="I154" i="3"/>
  <c r="H154" i="3"/>
  <c r="G154" i="3"/>
  <c r="G12" i="19" s="1"/>
  <c r="I153" i="3"/>
  <c r="H153" i="3"/>
  <c r="G153" i="3"/>
  <c r="G11" i="19" s="1"/>
  <c r="I152" i="3"/>
  <c r="H152" i="3"/>
  <c r="G152" i="3"/>
  <c r="G10" i="19" s="1"/>
  <c r="I151" i="3"/>
  <c r="H151" i="3"/>
  <c r="G151" i="3"/>
  <c r="G9" i="19" s="1"/>
  <c r="I150" i="3"/>
  <c r="H150" i="3"/>
  <c r="G150" i="3"/>
  <c r="G8" i="19" s="1"/>
  <c r="I149" i="3"/>
  <c r="H149" i="3"/>
  <c r="G149" i="3"/>
  <c r="G7" i="19" s="1"/>
  <c r="I148" i="3"/>
  <c r="H148" i="3"/>
  <c r="G148" i="3"/>
  <c r="G6" i="19" s="1"/>
  <c r="I147" i="3"/>
  <c r="H147" i="3"/>
  <c r="G147" i="3"/>
  <c r="G15" i="18" s="1"/>
  <c r="I146" i="3"/>
  <c r="H146" i="3"/>
  <c r="G146" i="3"/>
  <c r="G14" i="18" s="1"/>
  <c r="I145" i="3"/>
  <c r="H145" i="3"/>
  <c r="G145" i="3"/>
  <c r="G13" i="18" s="1"/>
  <c r="I144" i="3"/>
  <c r="H144" i="3"/>
  <c r="G144" i="3"/>
  <c r="G12" i="18" s="1"/>
  <c r="I143" i="3"/>
  <c r="H143" i="3"/>
  <c r="G143" i="3"/>
  <c r="G11" i="18" s="1"/>
  <c r="I142" i="3"/>
  <c r="H142" i="3"/>
  <c r="G142" i="3"/>
  <c r="G10" i="18" s="1"/>
  <c r="I141" i="3"/>
  <c r="H141" i="3"/>
  <c r="G141" i="3"/>
  <c r="G9" i="18" s="1"/>
  <c r="I140" i="3"/>
  <c r="H140" i="3"/>
  <c r="G140" i="3"/>
  <c r="G8" i="18" s="1"/>
  <c r="I139" i="3"/>
  <c r="H139" i="3"/>
  <c r="G139" i="3"/>
  <c r="G7" i="18" s="1"/>
  <c r="I138" i="3"/>
  <c r="H138" i="3"/>
  <c r="G138" i="3"/>
  <c r="G6" i="18" s="1"/>
  <c r="I137" i="3"/>
  <c r="H137" i="3"/>
  <c r="G137" i="3"/>
  <c r="G15" i="17" s="1"/>
  <c r="I136" i="3"/>
  <c r="H136" i="3"/>
  <c r="G136" i="3"/>
  <c r="G14" i="17" s="1"/>
  <c r="I135" i="3"/>
  <c r="H135" i="3"/>
  <c r="G135" i="3"/>
  <c r="G13" i="17" s="1"/>
  <c r="I134" i="3"/>
  <c r="H134" i="3"/>
  <c r="G134" i="3"/>
  <c r="G12" i="17" s="1"/>
  <c r="I133" i="3"/>
  <c r="H133" i="3"/>
  <c r="G133" i="3"/>
  <c r="G11" i="17" s="1"/>
  <c r="I132" i="3"/>
  <c r="H132" i="3"/>
  <c r="G132" i="3"/>
  <c r="G10" i="17" s="1"/>
  <c r="I131" i="3"/>
  <c r="H131" i="3"/>
  <c r="G131" i="3"/>
  <c r="G9" i="17" s="1"/>
  <c r="I130" i="3"/>
  <c r="H130" i="3"/>
  <c r="G130" i="3"/>
  <c r="G8" i="17" s="1"/>
  <c r="I129" i="3"/>
  <c r="H129" i="3"/>
  <c r="G129" i="3"/>
  <c r="G7" i="17" s="1"/>
  <c r="I128" i="3"/>
  <c r="H128" i="3"/>
  <c r="G128" i="3"/>
  <c r="G6" i="17" s="1"/>
  <c r="I127" i="3"/>
  <c r="H127" i="3"/>
  <c r="G127" i="3"/>
  <c r="G15" i="16" s="1"/>
  <c r="I126" i="3"/>
  <c r="H126" i="3"/>
  <c r="G126" i="3"/>
  <c r="G14" i="16" s="1"/>
  <c r="I125" i="3"/>
  <c r="H125" i="3"/>
  <c r="G125" i="3"/>
  <c r="G13" i="16" s="1"/>
  <c r="I124" i="3"/>
  <c r="H124" i="3"/>
  <c r="G124" i="3"/>
  <c r="G12" i="16" s="1"/>
  <c r="I123" i="3"/>
  <c r="H123" i="3"/>
  <c r="G123" i="3"/>
  <c r="G11" i="16" s="1"/>
  <c r="I122" i="3"/>
  <c r="H122" i="3"/>
  <c r="G122" i="3"/>
  <c r="G10" i="16" s="1"/>
  <c r="I121" i="3"/>
  <c r="H121" i="3"/>
  <c r="G121" i="3"/>
  <c r="G9" i="16" s="1"/>
  <c r="I120" i="3"/>
  <c r="H120" i="3"/>
  <c r="G120" i="3"/>
  <c r="G8" i="16" s="1"/>
  <c r="I119" i="3"/>
  <c r="H119" i="3"/>
  <c r="G119" i="3"/>
  <c r="G7" i="16" s="1"/>
  <c r="I118" i="3"/>
  <c r="H118" i="3"/>
  <c r="G118" i="3"/>
  <c r="G6" i="16" s="1"/>
  <c r="I117" i="3"/>
  <c r="H117" i="3"/>
  <c r="G117" i="3"/>
  <c r="G15" i="15" s="1"/>
  <c r="I116" i="3"/>
  <c r="H116" i="3"/>
  <c r="G116" i="3"/>
  <c r="G14" i="15" s="1"/>
  <c r="I115" i="3"/>
  <c r="H115" i="3"/>
  <c r="G115" i="3"/>
  <c r="G13" i="15" s="1"/>
  <c r="I114" i="3"/>
  <c r="H114" i="3"/>
  <c r="G114" i="3"/>
  <c r="G12" i="15" s="1"/>
  <c r="I113" i="3"/>
  <c r="H113" i="3"/>
  <c r="G113" i="3"/>
  <c r="G11" i="15" s="1"/>
  <c r="I112" i="3"/>
  <c r="H112" i="3"/>
  <c r="G112" i="3"/>
  <c r="G10" i="15" s="1"/>
  <c r="I111" i="3"/>
  <c r="H111" i="3"/>
  <c r="G111" i="3"/>
  <c r="G9" i="15" s="1"/>
  <c r="I110" i="3"/>
  <c r="H110" i="3"/>
  <c r="G110" i="3"/>
  <c r="G8" i="15" s="1"/>
  <c r="I109" i="3"/>
  <c r="H109" i="3"/>
  <c r="G109" i="3"/>
  <c r="G7" i="15" s="1"/>
  <c r="I108" i="3"/>
  <c r="H108" i="3"/>
  <c r="G108" i="3"/>
  <c r="G6" i="15" s="1"/>
  <c r="I107" i="3"/>
  <c r="H107" i="3"/>
  <c r="G107" i="3"/>
  <c r="G15" i="14" s="1"/>
  <c r="I106" i="3"/>
  <c r="H106" i="3"/>
  <c r="G106" i="3"/>
  <c r="G14" i="14" s="1"/>
  <c r="I105" i="3"/>
  <c r="H105" i="3"/>
  <c r="G105" i="3"/>
  <c r="G13" i="14" s="1"/>
  <c r="I104" i="3"/>
  <c r="H104" i="3"/>
  <c r="G104" i="3"/>
  <c r="G12" i="14" s="1"/>
  <c r="I103" i="3"/>
  <c r="H103" i="3"/>
  <c r="G103" i="3"/>
  <c r="G11" i="14" s="1"/>
  <c r="I102" i="3"/>
  <c r="H102" i="3"/>
  <c r="G102" i="3"/>
  <c r="G10" i="14" s="1"/>
  <c r="I101" i="3"/>
  <c r="H101" i="3"/>
  <c r="G101" i="3"/>
  <c r="G9" i="14" s="1"/>
  <c r="I100" i="3"/>
  <c r="H100" i="3"/>
  <c r="G100" i="3"/>
  <c r="G8" i="14" s="1"/>
  <c r="I99" i="3"/>
  <c r="H99" i="3"/>
  <c r="G99" i="3"/>
  <c r="G7" i="14" s="1"/>
  <c r="I98" i="3"/>
  <c r="H98" i="3"/>
  <c r="G98" i="3"/>
  <c r="G6" i="14" s="1"/>
  <c r="I97" i="3"/>
  <c r="H97" i="3"/>
  <c r="G97" i="3"/>
  <c r="G15" i="13" s="1"/>
  <c r="I96" i="3"/>
  <c r="H96" i="3"/>
  <c r="G96" i="3"/>
  <c r="G14" i="13" s="1"/>
  <c r="I95" i="3"/>
  <c r="H95" i="3"/>
  <c r="G95" i="3"/>
  <c r="G13" i="13" s="1"/>
  <c r="I94" i="3"/>
  <c r="H94" i="3"/>
  <c r="G94" i="3"/>
  <c r="G12" i="13" s="1"/>
  <c r="I93" i="3"/>
  <c r="H93" i="3"/>
  <c r="G93" i="3"/>
  <c r="G11" i="13" s="1"/>
  <c r="I92" i="3"/>
  <c r="H92" i="3"/>
  <c r="G92" i="3"/>
  <c r="G10" i="13" s="1"/>
  <c r="I91" i="3"/>
  <c r="H91" i="3"/>
  <c r="G91" i="3"/>
  <c r="G9" i="13" s="1"/>
  <c r="I90" i="3"/>
  <c r="H90" i="3"/>
  <c r="G90" i="3"/>
  <c r="G8" i="13" s="1"/>
  <c r="I89" i="3"/>
  <c r="H89" i="3"/>
  <c r="G89" i="3"/>
  <c r="G7" i="13" s="1"/>
  <c r="I88" i="3"/>
  <c r="H88" i="3"/>
  <c r="G88" i="3"/>
  <c r="G6" i="13" s="1"/>
  <c r="I87" i="3"/>
  <c r="H87" i="3"/>
  <c r="G87" i="3"/>
  <c r="G15" i="12" s="1"/>
  <c r="I86" i="3"/>
  <c r="H86" i="3"/>
  <c r="G86" i="3"/>
  <c r="G14" i="12" s="1"/>
  <c r="I85" i="3"/>
  <c r="H85" i="3"/>
  <c r="G85" i="3"/>
  <c r="G13" i="12" s="1"/>
  <c r="I84" i="3"/>
  <c r="H84" i="3"/>
  <c r="G84" i="3"/>
  <c r="G12" i="12" s="1"/>
  <c r="I83" i="3"/>
  <c r="H83" i="3"/>
  <c r="G83" i="3"/>
  <c r="G11" i="12" s="1"/>
  <c r="I82" i="3"/>
  <c r="H82" i="3"/>
  <c r="G82" i="3"/>
  <c r="G10" i="12" s="1"/>
  <c r="I81" i="3"/>
  <c r="H81" i="3"/>
  <c r="G81" i="3"/>
  <c r="G9" i="12" s="1"/>
  <c r="I80" i="3"/>
  <c r="H80" i="3"/>
  <c r="G80" i="3"/>
  <c r="G8" i="12" s="1"/>
  <c r="I79" i="3"/>
  <c r="H79" i="3"/>
  <c r="G79" i="3"/>
  <c r="G7" i="12" s="1"/>
  <c r="I78" i="3"/>
  <c r="H78" i="3"/>
  <c r="G78" i="3"/>
  <c r="G6" i="12" s="1"/>
  <c r="I77" i="3"/>
  <c r="H77" i="3"/>
  <c r="G77" i="3"/>
  <c r="G15" i="11" s="1"/>
  <c r="I76" i="3"/>
  <c r="H76" i="3"/>
  <c r="G76" i="3"/>
  <c r="G14" i="11" s="1"/>
  <c r="I75" i="3"/>
  <c r="H75" i="3"/>
  <c r="G75" i="3"/>
  <c r="G13" i="11" s="1"/>
  <c r="I74" i="3"/>
  <c r="H74" i="3"/>
  <c r="G74" i="3"/>
  <c r="G12" i="11" s="1"/>
  <c r="I73" i="3"/>
  <c r="H73" i="3"/>
  <c r="G73" i="3"/>
  <c r="G11" i="11" s="1"/>
  <c r="I72" i="3"/>
  <c r="H72" i="3"/>
  <c r="G72" i="3"/>
  <c r="G10" i="11" s="1"/>
  <c r="I71" i="3"/>
  <c r="H71" i="3"/>
  <c r="G71" i="3"/>
  <c r="G9" i="11" s="1"/>
  <c r="I70" i="3"/>
  <c r="H70" i="3"/>
  <c r="G70" i="3"/>
  <c r="G8" i="11" s="1"/>
  <c r="I69" i="3"/>
  <c r="H69" i="3"/>
  <c r="G69" i="3"/>
  <c r="G7" i="11" s="1"/>
  <c r="I68" i="3"/>
  <c r="H68" i="3"/>
  <c r="G68" i="3"/>
  <c r="G6" i="11" s="1"/>
  <c r="I67" i="3"/>
  <c r="H67" i="3"/>
  <c r="G67" i="3"/>
  <c r="G15" i="10" s="1"/>
  <c r="I66" i="3"/>
  <c r="H66" i="3"/>
  <c r="G66" i="3"/>
  <c r="G14" i="10" s="1"/>
  <c r="I65" i="3"/>
  <c r="H65" i="3"/>
  <c r="G65" i="3"/>
  <c r="G13" i="10" s="1"/>
  <c r="I64" i="3"/>
  <c r="H64" i="3"/>
  <c r="G64" i="3"/>
  <c r="G12" i="10" s="1"/>
  <c r="I63" i="3"/>
  <c r="H63" i="3"/>
  <c r="G63" i="3"/>
  <c r="G11" i="10" s="1"/>
  <c r="I62" i="3"/>
  <c r="H62" i="3"/>
  <c r="G62" i="3"/>
  <c r="G10" i="10" s="1"/>
  <c r="I61" i="3"/>
  <c r="H61" i="3"/>
  <c r="G61" i="3"/>
  <c r="G9" i="10" s="1"/>
  <c r="I60" i="3"/>
  <c r="H60" i="3"/>
  <c r="G60" i="3"/>
  <c r="G8" i="10" s="1"/>
  <c r="I59" i="3"/>
  <c r="H59" i="3"/>
  <c r="G59" i="3"/>
  <c r="G7" i="10" s="1"/>
  <c r="I58" i="3"/>
  <c r="H58" i="3"/>
  <c r="G58" i="3"/>
  <c r="G6" i="10" s="1"/>
  <c r="I57" i="3"/>
  <c r="H57" i="3"/>
  <c r="G57" i="3"/>
  <c r="G15" i="9" s="1"/>
  <c r="I56" i="3"/>
  <c r="H56" i="3"/>
  <c r="G56" i="3"/>
  <c r="G14" i="9" s="1"/>
  <c r="I55" i="3"/>
  <c r="H55" i="3"/>
  <c r="G55" i="3"/>
  <c r="G13" i="9" s="1"/>
  <c r="I54" i="3"/>
  <c r="H54" i="3"/>
  <c r="G54" i="3"/>
  <c r="G12" i="9" s="1"/>
  <c r="I53" i="3"/>
  <c r="H53" i="3"/>
  <c r="G53" i="3"/>
  <c r="G11" i="9" s="1"/>
  <c r="I52" i="3"/>
  <c r="H52" i="3"/>
  <c r="G52" i="3"/>
  <c r="G10" i="9" s="1"/>
  <c r="I51" i="3"/>
  <c r="H51" i="3"/>
  <c r="G51" i="3"/>
  <c r="G9" i="9" s="1"/>
  <c r="I50" i="3"/>
  <c r="H50" i="3"/>
  <c r="G50" i="3"/>
  <c r="G8" i="9" s="1"/>
  <c r="I49" i="3"/>
  <c r="H49" i="3"/>
  <c r="G49" i="3"/>
  <c r="G7" i="9" s="1"/>
  <c r="I48" i="3"/>
  <c r="H48" i="3"/>
  <c r="G48" i="3"/>
  <c r="G6" i="9" s="1"/>
  <c r="I47" i="3"/>
  <c r="H47" i="3"/>
  <c r="G47" i="3"/>
  <c r="G15" i="8" s="1"/>
  <c r="I46" i="3"/>
  <c r="H46" i="3"/>
  <c r="G46" i="3"/>
  <c r="G14" i="8" s="1"/>
  <c r="I45" i="3"/>
  <c r="H45" i="3"/>
  <c r="G45" i="3"/>
  <c r="G13" i="8" s="1"/>
  <c r="I44" i="3"/>
  <c r="H44" i="3"/>
  <c r="G44" i="3"/>
  <c r="G12" i="8" s="1"/>
  <c r="I43" i="3"/>
  <c r="H43" i="3"/>
  <c r="G43" i="3"/>
  <c r="G11" i="8" s="1"/>
  <c r="I42" i="3"/>
  <c r="H42" i="3"/>
  <c r="G42" i="3"/>
  <c r="G10" i="8" s="1"/>
  <c r="I41" i="3"/>
  <c r="H41" i="3"/>
  <c r="G41" i="3"/>
  <c r="G9" i="8" s="1"/>
  <c r="I40" i="3"/>
  <c r="H40" i="3"/>
  <c r="G40" i="3"/>
  <c r="G8" i="8" s="1"/>
  <c r="I39" i="3"/>
  <c r="H39" i="3"/>
  <c r="G39" i="3"/>
  <c r="G7" i="8" s="1"/>
  <c r="I38" i="3"/>
  <c r="H38" i="3"/>
  <c r="G38" i="3"/>
  <c r="G6" i="8" s="1"/>
  <c r="I37" i="3"/>
  <c r="H37" i="3"/>
  <c r="G37" i="3"/>
  <c r="G15" i="7" s="1"/>
  <c r="I36" i="3"/>
  <c r="H36" i="3"/>
  <c r="G36" i="3"/>
  <c r="G14" i="7" s="1"/>
  <c r="I35" i="3"/>
  <c r="H35" i="3"/>
  <c r="G35" i="3"/>
  <c r="G13" i="7" s="1"/>
  <c r="I34" i="3"/>
  <c r="H34" i="3"/>
  <c r="G34" i="3"/>
  <c r="G12" i="7" s="1"/>
  <c r="I33" i="3"/>
  <c r="H33" i="3"/>
  <c r="G33" i="3"/>
  <c r="G11" i="7" s="1"/>
  <c r="I32" i="3"/>
  <c r="H32" i="3"/>
  <c r="G32" i="3"/>
  <c r="G10" i="7" s="1"/>
  <c r="I31" i="3"/>
  <c r="H31" i="3"/>
  <c r="G31" i="3"/>
  <c r="G9" i="7" s="1"/>
  <c r="I30" i="3"/>
  <c r="H30" i="3"/>
  <c r="G30" i="3"/>
  <c r="G8" i="7" s="1"/>
  <c r="I29" i="3"/>
  <c r="H29" i="3"/>
  <c r="G29" i="3"/>
  <c r="G7" i="7" s="1"/>
  <c r="I28" i="3"/>
  <c r="H28" i="3"/>
  <c r="G28" i="3"/>
  <c r="G6" i="7" s="1"/>
  <c r="I27" i="3"/>
  <c r="H27" i="3"/>
  <c r="G27" i="3"/>
  <c r="G15" i="6" s="1"/>
  <c r="I26" i="3"/>
  <c r="H26" i="3"/>
  <c r="G26" i="3"/>
  <c r="G14" i="6" s="1"/>
  <c r="I25" i="3"/>
  <c r="H25" i="3"/>
  <c r="G25" i="3"/>
  <c r="G13" i="6" s="1"/>
  <c r="I24" i="3"/>
  <c r="H24" i="3"/>
  <c r="G24" i="3"/>
  <c r="G12" i="6" s="1"/>
  <c r="I23" i="3"/>
  <c r="H23" i="3"/>
  <c r="G23" i="3"/>
  <c r="G11" i="6" s="1"/>
  <c r="I22" i="3"/>
  <c r="H22" i="3"/>
  <c r="G22" i="3"/>
  <c r="G10" i="6" s="1"/>
  <c r="I21" i="3"/>
  <c r="H21" i="3"/>
  <c r="G21" i="3"/>
  <c r="G9" i="6" s="1"/>
  <c r="I20" i="3"/>
  <c r="H20" i="3"/>
  <c r="G20" i="3"/>
  <c r="G8" i="6" s="1"/>
  <c r="I19" i="3"/>
  <c r="H19" i="3"/>
  <c r="G19" i="3"/>
  <c r="G7" i="6" s="1"/>
  <c r="I18" i="3"/>
  <c r="H18" i="3"/>
  <c r="G18" i="3"/>
  <c r="G6" i="6" s="1"/>
  <c r="I17" i="3"/>
  <c r="H17" i="3"/>
  <c r="G17" i="3"/>
  <c r="G21" i="5" s="1"/>
  <c r="I16" i="3"/>
  <c r="H16" i="3"/>
  <c r="G16" i="3"/>
  <c r="G20" i="5" s="1"/>
  <c r="I15" i="3"/>
  <c r="H15" i="3"/>
  <c r="G15" i="3"/>
  <c r="G19" i="5" s="1"/>
  <c r="I14" i="3"/>
  <c r="H14" i="3"/>
  <c r="G14" i="3"/>
  <c r="G18" i="5" s="1"/>
  <c r="I13" i="3"/>
  <c r="H13" i="3"/>
  <c r="G13" i="3"/>
  <c r="G17" i="5" s="1"/>
  <c r="I12" i="3"/>
  <c r="H12" i="3"/>
  <c r="G12" i="3"/>
  <c r="G16" i="5" s="1"/>
  <c r="I11" i="3"/>
  <c r="H11" i="3"/>
  <c r="G11" i="3"/>
  <c r="G15" i="5" s="1"/>
  <c r="I10" i="3"/>
  <c r="H10" i="3"/>
  <c r="G10" i="3"/>
  <c r="G14" i="5" s="1"/>
  <c r="I9" i="3"/>
  <c r="H9" i="3"/>
  <c r="G9" i="3"/>
  <c r="G13" i="5" s="1"/>
  <c r="I8" i="3"/>
  <c r="H8" i="3"/>
  <c r="G8" i="3"/>
  <c r="G12" i="5" s="1"/>
  <c r="I7" i="3"/>
  <c r="H7" i="3"/>
  <c r="G7" i="3"/>
  <c r="G11" i="5" s="1"/>
  <c r="I6" i="3"/>
  <c r="H6" i="3"/>
  <c r="G6" i="3"/>
  <c r="G10" i="5" s="1"/>
  <c r="I5" i="3"/>
  <c r="H5" i="3"/>
  <c r="G5" i="3"/>
  <c r="G9" i="5" s="1"/>
  <c r="I4" i="3"/>
  <c r="H4" i="3"/>
  <c r="G4" i="3"/>
  <c r="G8" i="5" s="1"/>
  <c r="I3" i="3"/>
  <c r="H3" i="3"/>
  <c r="G3" i="3"/>
  <c r="G7" i="5" s="1"/>
  <c r="I2" i="3"/>
  <c r="H2" i="3"/>
  <c r="G2" i="3"/>
  <c r="G6" i="5" s="1"/>
  <c r="E17" i="2"/>
  <c r="F17" i="2" s="1"/>
  <c r="E16" i="2"/>
  <c r="F16" i="2" s="1"/>
  <c r="E15" i="2"/>
  <c r="F15" i="2" s="1"/>
  <c r="E14" i="2"/>
  <c r="F14" i="2" s="1"/>
  <c r="E13" i="2"/>
  <c r="F13" i="2" s="1"/>
  <c r="E12" i="2"/>
  <c r="F12" i="2" s="1"/>
  <c r="E11" i="2"/>
  <c r="F11" i="2" s="1"/>
  <c r="E10" i="2"/>
  <c r="F10" i="2" s="1"/>
  <c r="E9" i="2"/>
  <c r="F9" i="2" s="1"/>
  <c r="E8" i="2"/>
  <c r="F8" i="2" s="1"/>
  <c r="E7" i="2"/>
  <c r="F7" i="2" s="1"/>
  <c r="E6" i="2"/>
  <c r="F6" i="2" s="1"/>
  <c r="E5" i="2"/>
  <c r="F5" i="2" s="1"/>
  <c r="E4" i="2"/>
  <c r="F4" i="2" s="1"/>
  <c r="E3" i="2"/>
  <c r="F3" i="2" s="1"/>
  <c r="E2" i="2"/>
  <c r="Q1" i="22" l="1"/>
  <c r="A17" i="22"/>
  <c r="J16" i="2"/>
  <c r="P16" i="22"/>
  <c r="I16" i="22"/>
  <c r="H16" i="22"/>
  <c r="F16" i="22"/>
  <c r="C16" i="22"/>
  <c r="M16" i="22"/>
  <c r="J16" i="22"/>
  <c r="G16" i="22"/>
  <c r="D16" i="22"/>
  <c r="O16" i="22"/>
  <c r="E16" i="22"/>
  <c r="N16" i="22"/>
  <c r="L16" i="22"/>
  <c r="B16" i="22"/>
  <c r="P5" i="22"/>
  <c r="A16" i="22"/>
  <c r="P1" i="22"/>
  <c r="O15" i="22"/>
  <c r="I15" i="22"/>
  <c r="P15" i="22"/>
  <c r="J15" i="22"/>
  <c r="N15" i="22"/>
  <c r="H15" i="22"/>
  <c r="F15" i="22"/>
  <c r="M15" i="22"/>
  <c r="L15" i="22"/>
  <c r="G15" i="22"/>
  <c r="O5" i="22"/>
  <c r="N5" i="22"/>
  <c r="M5" i="22"/>
  <c r="L5" i="22"/>
  <c r="J5" i="22"/>
  <c r="I5" i="22"/>
  <c r="H5" i="22"/>
  <c r="G5" i="22"/>
  <c r="N11" i="2"/>
  <c r="K16" i="22"/>
  <c r="K5" i="22"/>
  <c r="K15" i="22"/>
  <c r="J5" i="2"/>
  <c r="B5" i="22"/>
  <c r="F5" i="22"/>
  <c r="E5" i="22"/>
  <c r="D5" i="22"/>
  <c r="C5" i="22"/>
  <c r="E1" i="22"/>
  <c r="A5" i="22"/>
  <c r="F4" i="22"/>
  <c r="E4" i="22"/>
  <c r="D4" i="22"/>
  <c r="P4" i="22"/>
  <c r="O4" i="22"/>
  <c r="N4" i="22"/>
  <c r="M4" i="22"/>
  <c r="L4" i="22"/>
  <c r="K4" i="22"/>
  <c r="J4" i="22"/>
  <c r="I4" i="22"/>
  <c r="H4" i="22"/>
  <c r="G4" i="22"/>
  <c r="J3" i="2"/>
  <c r="E3" i="22"/>
  <c r="D3" i="22"/>
  <c r="C3" i="22"/>
  <c r="B3" i="22"/>
  <c r="C1" i="22"/>
  <c r="A3" i="22"/>
  <c r="P2" i="22"/>
  <c r="O2" i="22"/>
  <c r="N2" i="22"/>
  <c r="M2" i="22"/>
  <c r="L2" i="22"/>
  <c r="K2" i="22"/>
  <c r="J2" i="22"/>
  <c r="I2" i="22"/>
  <c r="H2" i="22"/>
  <c r="G2" i="22"/>
  <c r="F2" i="22"/>
  <c r="E2" i="22"/>
  <c r="D2" i="22"/>
  <c r="C2" i="22"/>
  <c r="B2" i="22"/>
  <c r="B1" i="22"/>
  <c r="A2" i="22"/>
  <c r="J17" i="2"/>
  <c r="Q17" i="22"/>
  <c r="P17" i="22"/>
  <c r="O17" i="22"/>
  <c r="N17" i="22"/>
  <c r="M17" i="22"/>
  <c r="L17" i="22"/>
  <c r="K17" i="22"/>
  <c r="J17" i="22"/>
  <c r="I17" i="22"/>
  <c r="H17" i="22"/>
  <c r="G17" i="22"/>
  <c r="F17" i="22"/>
  <c r="E17" i="22"/>
  <c r="D17" i="22"/>
  <c r="C17" i="22"/>
  <c r="B17" i="22"/>
  <c r="Q16" i="22"/>
  <c r="Q15" i="22"/>
  <c r="Q3" i="22"/>
  <c r="Q5" i="22"/>
  <c r="Q4" i="22"/>
  <c r="Q7" i="22"/>
  <c r="Q2" i="22"/>
  <c r="J15" i="2"/>
  <c r="O7" i="22"/>
  <c r="E15" i="22"/>
  <c r="D15" i="22"/>
  <c r="C15" i="22"/>
  <c r="B15" i="22"/>
  <c r="O1" i="22"/>
  <c r="A15" i="22"/>
  <c r="J14" i="2"/>
  <c r="N3" i="22"/>
  <c r="N7" i="22"/>
  <c r="Q14" i="22"/>
  <c r="P14" i="22"/>
  <c r="O14" i="22"/>
  <c r="N14" i="22"/>
  <c r="M14" i="22"/>
  <c r="L14" i="22"/>
  <c r="K14" i="22"/>
  <c r="J14" i="22"/>
  <c r="I14" i="22"/>
  <c r="H14" i="22"/>
  <c r="G14" i="22"/>
  <c r="F14" i="22"/>
  <c r="E14" i="22"/>
  <c r="D14" i="22"/>
  <c r="C14" i="22"/>
  <c r="B14" i="22"/>
  <c r="A14" i="22"/>
  <c r="N1" i="22"/>
  <c r="J13" i="2"/>
  <c r="M7" i="22"/>
  <c r="Q13" i="22"/>
  <c r="O13" i="22"/>
  <c r="N13" i="22"/>
  <c r="M13" i="22"/>
  <c r="L13" i="22"/>
  <c r="K13" i="22"/>
  <c r="J13" i="22"/>
  <c r="I13" i="22"/>
  <c r="H13" i="22"/>
  <c r="P13" i="22"/>
  <c r="F13" i="22"/>
  <c r="E13" i="22"/>
  <c r="D13" i="22"/>
  <c r="C13" i="22"/>
  <c r="B13" i="22"/>
  <c r="M3" i="22"/>
  <c r="G13" i="22"/>
  <c r="M1" i="22"/>
  <c r="A13" i="22"/>
  <c r="J12" i="2"/>
  <c r="H12" i="22"/>
  <c r="G12" i="22"/>
  <c r="E12" i="22"/>
  <c r="D12" i="22"/>
  <c r="C12" i="22"/>
  <c r="B12" i="22"/>
  <c r="F12" i="22"/>
  <c r="I12" i="22"/>
  <c r="Q12" i="22"/>
  <c r="P12" i="22"/>
  <c r="O12" i="22"/>
  <c r="N12" i="22"/>
  <c r="M12" i="22"/>
  <c r="L12" i="22"/>
  <c r="K12" i="22"/>
  <c r="J12" i="22"/>
  <c r="L1" i="22"/>
  <c r="A12" i="22"/>
  <c r="J11" i="2"/>
  <c r="P11" i="22"/>
  <c r="L11" i="22"/>
  <c r="K11" i="22"/>
  <c r="I11" i="22"/>
  <c r="H11" i="22"/>
  <c r="F11" i="22"/>
  <c r="E11" i="22"/>
  <c r="C11" i="22"/>
  <c r="J11" i="22"/>
  <c r="G11" i="22"/>
  <c r="D11" i="22"/>
  <c r="B11" i="22"/>
  <c r="N11" i="22"/>
  <c r="M11" i="22"/>
  <c r="Q11" i="22"/>
  <c r="O11" i="22"/>
  <c r="A11" i="22"/>
  <c r="K1" i="22"/>
  <c r="J10" i="2"/>
  <c r="Q10" i="22"/>
  <c r="O10" i="22"/>
  <c r="M10" i="22"/>
  <c r="L10" i="22"/>
  <c r="J10" i="22"/>
  <c r="P10" i="22"/>
  <c r="C10" i="22"/>
  <c r="K10" i="22"/>
  <c r="I10" i="22"/>
  <c r="G10" i="22"/>
  <c r="F10" i="22"/>
  <c r="E10" i="22"/>
  <c r="N10" i="22"/>
  <c r="B10" i="22"/>
  <c r="H10" i="22"/>
  <c r="D10" i="22"/>
  <c r="J1" i="22"/>
  <c r="A10" i="22"/>
  <c r="J9" i="2"/>
  <c r="C9" i="22"/>
  <c r="B9" i="22"/>
  <c r="N9" i="22"/>
  <c r="O9" i="22"/>
  <c r="Q9" i="22"/>
  <c r="M9" i="22"/>
  <c r="L9" i="22"/>
  <c r="P9" i="22"/>
  <c r="K9" i="22"/>
  <c r="I7" i="22"/>
  <c r="J9" i="22"/>
  <c r="I9" i="22"/>
  <c r="H9" i="22"/>
  <c r="G9" i="22"/>
  <c r="F9" i="22"/>
  <c r="E9" i="22"/>
  <c r="D9" i="22"/>
  <c r="A9" i="22"/>
  <c r="I1" i="22"/>
  <c r="J8" i="2"/>
  <c r="P8" i="22"/>
  <c r="O8" i="22"/>
  <c r="N8" i="22"/>
  <c r="M8" i="22"/>
  <c r="L8" i="22"/>
  <c r="Q8" i="22"/>
  <c r="F8" i="22"/>
  <c r="K8" i="22"/>
  <c r="J8" i="22"/>
  <c r="H7" i="22"/>
  <c r="B8" i="22"/>
  <c r="I8" i="22"/>
  <c r="H8" i="22"/>
  <c r="C8" i="22"/>
  <c r="G8" i="22"/>
  <c r="D8" i="22"/>
  <c r="E8" i="22"/>
  <c r="H1" i="22"/>
  <c r="A8" i="22"/>
  <c r="R7" i="2"/>
  <c r="L7" i="22"/>
  <c r="P7" i="22"/>
  <c r="J7" i="22"/>
  <c r="E7" i="22"/>
  <c r="F7" i="22"/>
  <c r="C7" i="22"/>
  <c r="K7" i="22"/>
  <c r="G7" i="22"/>
  <c r="B7" i="22"/>
  <c r="J6" i="2"/>
  <c r="C6" i="22"/>
  <c r="D6" i="22"/>
  <c r="I6" i="22"/>
  <c r="J6" i="22"/>
  <c r="E6" i="22"/>
  <c r="O6" i="22"/>
  <c r="G6" i="22"/>
  <c r="F6" i="22"/>
  <c r="N6" i="22"/>
  <c r="M6" i="22"/>
  <c r="H6" i="22"/>
  <c r="L6" i="22"/>
  <c r="K6" i="22"/>
  <c r="Q6" i="22"/>
  <c r="P6" i="22"/>
  <c r="J4" i="2"/>
  <c r="D7" i="22"/>
  <c r="C4" i="22"/>
  <c r="B4" i="22"/>
  <c r="D1" i="22"/>
  <c r="A4" i="22"/>
  <c r="L3" i="2"/>
  <c r="K3" i="22"/>
  <c r="P3" i="22"/>
  <c r="O3" i="22"/>
  <c r="L3" i="22"/>
  <c r="J3" i="22"/>
  <c r="I3" i="22"/>
  <c r="H3" i="22"/>
  <c r="G3" i="22"/>
  <c r="F3" i="22"/>
  <c r="J2" i="2"/>
  <c r="B6" i="22"/>
  <c r="F2" i="2"/>
  <c r="F18" i="2" s="1"/>
  <c r="E18" i="2"/>
  <c r="B22" i="22" l="1"/>
  <c r="B21"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Brent</author>
  </authors>
  <commentList>
    <comment ref="I1" authorId="0" shapeId="0" xr:uid="{84168A3B-82DF-44A0-B0E7-1BC096E13EE4}">
      <text>
        <r>
          <rPr>
            <b/>
            <sz val="9"/>
            <color indexed="81"/>
            <rFont val="Tahoma"/>
            <family val="2"/>
          </rPr>
          <t>Heat: cold (-1) to hot (+1)</t>
        </r>
      </text>
    </comment>
    <comment ref="K1" authorId="0" shapeId="0" xr:uid="{E6F99673-1D7E-4F97-8E56-BF1C675685A3}">
      <text>
        <r>
          <rPr>
            <b/>
            <sz val="9"/>
            <color indexed="81"/>
            <rFont val="Tahoma"/>
            <family val="2"/>
          </rPr>
          <t>Substance: fluid or free (-1) to solid (+1)</t>
        </r>
      </text>
    </comment>
    <comment ref="M1" authorId="0" shapeId="0" xr:uid="{DEE0EE74-C1E2-4344-82C4-10C0615C3C4C}">
      <text>
        <r>
          <rPr>
            <b/>
            <sz val="9"/>
            <color indexed="81"/>
            <rFont val="Tahoma"/>
            <family val="2"/>
          </rPr>
          <t>Vitality: death (-1) to life (+1)</t>
        </r>
      </text>
    </comment>
    <comment ref="O1" authorId="0" shapeId="0" xr:uid="{0CAC111E-551D-46E8-8932-6F6A66D21D17}">
      <text>
        <r>
          <rPr>
            <b/>
            <sz val="9"/>
            <color indexed="81"/>
            <rFont val="Tahoma"/>
            <family val="2"/>
          </rPr>
          <t>Light: conceals (-1) to reveals (+1)</t>
        </r>
      </text>
    </comment>
    <comment ref="Q1" authorId="0" shapeId="0" xr:uid="{1B7DE541-158D-4242-957F-8959A3F02F59}">
      <text>
        <r>
          <rPr>
            <b/>
            <sz val="9"/>
            <color indexed="81"/>
            <rFont val="Tahoma"/>
            <family val="2"/>
          </rPr>
          <t>Mind (-1) to matter (+1)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E1" authorId="0" shapeId="0" xr:uid="{00000000-0006-0000-0200-000001000000}">
      <text>
        <r>
          <rPr>
            <sz val="11"/>
            <color theme="1"/>
            <rFont val="Calibri"/>
            <family val="2"/>
            <scheme val="minor"/>
          </rPr>
          <t>Placeholder glyphs: the Runic block (Segoe UI Historic) for the five affinities in the game, Alchemical Symbols (Segoe UI Symbol) for the rest. Type any character to replace one; the affinity sheets follow.</t>
        </r>
      </text>
    </comment>
    <comment ref="J1" authorId="0" shapeId="0" xr:uid="{00000000-0006-0000-0200-000002000000}">
      <text>
        <r>
          <rPr>
            <sz val="11"/>
            <color theme="1"/>
            <rFont val="Calibri"/>
            <family val="2"/>
            <scheme val="minor"/>
          </rPr>
          <t>Static: the code point the character had when the workbook was made. It does not change if you type a new character.</t>
        </r>
      </text>
    </comment>
  </commentList>
</comments>
</file>

<file path=xl/sharedStrings.xml><?xml version="1.0" encoding="utf-8"?>
<sst xmlns="http://schemas.openxmlformats.org/spreadsheetml/2006/main" count="2432" uniqueCount="1426">
  <si>
    <t>Passage rune workbook</t>
  </si>
  <si>
    <t>Made 2026-10-22 from design/14-rune-sets-v0.md and design/affinities/water.md. Nothing here is in the game yet.</t>
  </si>
  <si>
    <t>Sheets</t>
  </si>
  <si>
    <t>Affinities: every affinity, its rule, status and rune count, with a link to its sheet. The proposed seven are listed below it.</t>
  </si>
  <si>
    <t>Base Runes: every base rune in one list, with its character. This is where a rune's name and character live.</t>
  </si>
  <si>
    <t>Universal Runes: the 28 universal pairs anyone can add to a skill, with characters.</t>
  </si>
  <si>
    <t>One sheet per affinity: each rune as a skill, as a means, what it releases with its opposite, and the skills built on it.</t>
  </si>
  <si>
    <t>Colours</t>
  </si>
  <si>
    <t>Blue text: type here.</t>
  </si>
  <si>
    <t>Green text: pulled from another sheet. Change it at its source (names and characters on Base Runes).</t>
  </si>
  <si>
    <t>Black text: worked out on this sheet (opposites, counts).</t>
  </si>
  <si>
    <t>Yellow fill: not written yet (water is the only affinity with its means and together columns filled).</t>
  </si>
  <si>
    <t>Editing</t>
  </si>
  <si>
    <t>Rename a rune or change its character on Base Runes; its affinity sheet and opposite follow.</t>
  </si>
  <si>
    <t>Add a rune: add a row on Base Runes with a new ID (for example FIR-6a, with its opposite FIR-6b), then a row on the affinity sheet with the same ID.</t>
  </si>
  <si>
    <t>IDs: three-letter affinity code, pair number, a or b. The two runes of a pair point at each other in Opposite ID.</t>
  </si>
  <si>
    <t>Characters are placeholders: the Runic block (font Segoe UI Historic) for the five affinities already in the game, Alchemical Symbols (Segoe UI Symbol) for the rest, and assorted symbols for universal runes. Type any character over them. In the game the ethercosm will draw original glyphs.</t>
  </si>
  <si>
    <t>Things to fix</t>
  </si>
  <si>
    <t>Affinity</t>
  </si>
  <si>
    <t>Rule</t>
  </si>
  <si>
    <t>Status</t>
  </si>
  <si>
    <t>Source</t>
  </si>
  <si>
    <t>Base runes</t>
  </si>
  <si>
    <t>Pairs</t>
  </si>
  <si>
    <t>Sheet</t>
  </si>
  <si>
    <t>Water</t>
  </si>
  <si>
    <t>Moves bodies (shove and Crush); works the water that is already there (wetness)</t>
  </si>
  <si>
    <t>Deep dive v0</t>
  </si>
  <si>
    <t>existing (design/05); MODEL: wetness, from C</t>
  </si>
  <si>
    <t>Fire</t>
  </si>
  <si>
    <t>Runs on its own heat</t>
  </si>
  <si>
    <t>First pass</t>
  </si>
  <si>
    <t>Earth</t>
  </si>
  <si>
    <t>Builds stone that stays</t>
  </si>
  <si>
    <t>Wind</t>
  </si>
  <si>
    <t>Paid for by moving (Slipstream)</t>
  </si>
  <si>
    <t>Lightning</t>
  </si>
  <si>
    <t>Marks a target, then overloads it</t>
  </si>
  <si>
    <t>Ice</t>
  </si>
  <si>
    <t>What it freezes stays frozen</t>
  </si>
  <si>
    <t>First pass (new 2026-10-22)</t>
  </si>
  <si>
    <t>B 2026-10-21: ice is its own affinity, taking water's Freeze; MODEL: the rule</t>
  </si>
  <si>
    <t>Dark</t>
  </si>
  <si>
    <t>Strongest where the light is weakest</t>
  </si>
  <si>
    <t>B 2026-10-21: dark is an affinity; MODEL: the rule</t>
  </si>
  <si>
    <t>Metal</t>
  </si>
  <si>
    <t>Worn and carried metal is its material</t>
  </si>
  <si>
    <t>MODEL</t>
  </si>
  <si>
    <t>Blood</t>
  </si>
  <si>
    <t>Works the blood that is already out</t>
  </si>
  <si>
    <t>C: blood storage and blood-to-metal techniques exist; MODEL: the rule</t>
  </si>
  <si>
    <t>Life</t>
  </si>
  <si>
    <t>Works inside living bodies</t>
  </si>
  <si>
    <t>C: life practitioners work inside a body, with consent; MODEL: the rule</t>
  </si>
  <si>
    <t>Death</t>
  </si>
  <si>
    <t>What has died stays useful</t>
  </si>
  <si>
    <t>C: death affinity and undeath exist; MODEL: the rule</t>
  </si>
  <si>
    <t>Nature</t>
  </si>
  <si>
    <t>Grows from the ground and keeps growing</t>
  </si>
  <si>
    <t>C: nature is named; MODEL: the rule</t>
  </si>
  <si>
    <t>Light</t>
  </si>
  <si>
    <t>Straight and instant; reveals the hidden</t>
  </si>
  <si>
    <t>MODEL: the rule</t>
  </si>
  <si>
    <t>Dream</t>
  </si>
  <si>
    <t>The mind</t>
  </si>
  <si>
    <t>C: dream is a named, valued affinity; MODEL: the rule</t>
  </si>
  <si>
    <t>Poison</t>
  </si>
  <si>
    <t>Doses stack inside a body and come due later</t>
  </si>
  <si>
    <t>Disease</t>
  </si>
  <si>
    <t>A cloud that only harms flesh</t>
  </si>
  <si>
    <t>B 2026-10-21: renamed from Miasma; C: miasma is flesh-only and armour counters it; MODEL: the rest</t>
  </si>
  <si>
    <t>Total</t>
  </si>
  <si>
    <t>Proposed, awaiting your yes or no (no sheets yet)</t>
  </si>
  <si>
    <t>Sound</t>
  </si>
  <si>
    <t>Proposed</t>
  </si>
  <si>
    <t>Gravity</t>
  </si>
  <si>
    <t>Space</t>
  </si>
  <si>
    <t>Time</t>
  </si>
  <si>
    <t>Mind</t>
  </si>
  <si>
    <t>Beast</t>
  </si>
  <si>
    <t>Spirit</t>
  </si>
  <si>
    <t>ID</t>
  </si>
  <si>
    <t>Pair</t>
  </si>
  <si>
    <t>Rune</t>
  </si>
  <si>
    <t>Character</t>
  </si>
  <si>
    <t>Opposite ID</t>
  </si>
  <si>
    <t>Opposite</t>
  </si>
  <si>
    <t>Opposite character</t>
  </si>
  <si>
    <t>As a skill (from the affinity sheet)</t>
  </si>
  <si>
    <t>Code point as first assigned</t>
  </si>
  <si>
    <t>WAT-1a</t>
  </si>
  <si>
    <t>Surge</t>
  </si>
  <si>
    <t>ᚠ</t>
  </si>
  <si>
    <t>WAT-1b</t>
  </si>
  <si>
    <t>U+16A0</t>
  </si>
  <si>
    <t>Ebb</t>
  </si>
  <si>
    <t>ᚡ</t>
  </si>
  <si>
    <t>U+16A1</t>
  </si>
  <si>
    <t>WAT-2a</t>
  </si>
  <si>
    <t>ᚢ</t>
  </si>
  <si>
    <t>WAT-2b</t>
  </si>
  <si>
    <t>U+16A2</t>
  </si>
  <si>
    <t>ᚣ</t>
  </si>
  <si>
    <t>U+16A3</t>
  </si>
  <si>
    <t>WAT-3a</t>
  </si>
  <si>
    <t>Soak</t>
  </si>
  <si>
    <t>ᚤ</t>
  </si>
  <si>
    <t>WAT-3b</t>
  </si>
  <si>
    <t>U+16A4</t>
  </si>
  <si>
    <t>ᚥ</t>
  </si>
  <si>
    <t>U+16A5</t>
  </si>
  <si>
    <t>WAT-4a</t>
  </si>
  <si>
    <t>ᚦ</t>
  </si>
  <si>
    <t>WAT-4b</t>
  </si>
  <si>
    <t>U+16A6</t>
  </si>
  <si>
    <t>ᚧ</t>
  </si>
  <si>
    <t>U+16A7</t>
  </si>
  <si>
    <t>WAT-5a</t>
  </si>
  <si>
    <t>ᚨ</t>
  </si>
  <si>
    <t>WAT-5b</t>
  </si>
  <si>
    <t>U+16A8</t>
  </si>
  <si>
    <t>Dry</t>
  </si>
  <si>
    <t>ᚩ</t>
  </si>
  <si>
    <t>U+16A9</t>
  </si>
  <si>
    <t>WAT-6a</t>
  </si>
  <si>
    <t>ᚪ</t>
  </si>
  <si>
    <t>WAT-6b</t>
  </si>
  <si>
    <t>U+16AA</t>
  </si>
  <si>
    <t>ᚫ</t>
  </si>
  <si>
    <t>U+16AB</t>
  </si>
  <si>
    <t>WAT-7a</t>
  </si>
  <si>
    <t>ᚬ</t>
  </si>
  <si>
    <t>WAT-7b</t>
  </si>
  <si>
    <t>U+16AC</t>
  </si>
  <si>
    <t>ᚭ</t>
  </si>
  <si>
    <t>U+16AD</t>
  </si>
  <si>
    <t>WAT-8a</t>
  </si>
  <si>
    <t>Drown</t>
  </si>
  <si>
    <t>ᚮ</t>
  </si>
  <si>
    <t>WAT-8b</t>
  </si>
  <si>
    <t>U+16AE</t>
  </si>
  <si>
    <t>Float</t>
  </si>
  <si>
    <t>ᚯ</t>
  </si>
  <si>
    <t>U+16AF</t>
  </si>
  <si>
    <t>FIR-1a</t>
  </si>
  <si>
    <t>Ignite</t>
  </si>
  <si>
    <t>ᚰ</t>
  </si>
  <si>
    <t>FIR-1b</t>
  </si>
  <si>
    <t>U+16B0</t>
  </si>
  <si>
    <t>Quench</t>
  </si>
  <si>
    <t>ᚱ</t>
  </si>
  <si>
    <t>U+16B1</t>
  </si>
  <si>
    <t>FIR-2a</t>
  </si>
  <si>
    <t>Radiate</t>
  </si>
  <si>
    <t>ᚲ</t>
  </si>
  <si>
    <t>FIR-2b</t>
  </si>
  <si>
    <t>U+16B2</t>
  </si>
  <si>
    <t>Absorb</t>
  </si>
  <si>
    <t>ᚳ</t>
  </si>
  <si>
    <t>U+16B3</t>
  </si>
  <si>
    <t>FIR-3a</t>
  </si>
  <si>
    <t>ᚴ</t>
  </si>
  <si>
    <t>FIR-3b</t>
  </si>
  <si>
    <t>U+16B4</t>
  </si>
  <si>
    <t>Fuse</t>
  </si>
  <si>
    <t>ᚵ</t>
  </si>
  <si>
    <t>U+16B5</t>
  </si>
  <si>
    <t>FIR-4a</t>
  </si>
  <si>
    <t>ᚶ</t>
  </si>
  <si>
    <t>FIR-4b</t>
  </si>
  <si>
    <t>U+16B6</t>
  </si>
  <si>
    <t>Implode</t>
  </si>
  <si>
    <t>ᚷ</t>
  </si>
  <si>
    <t>U+16B7</t>
  </si>
  <si>
    <t>FIR-5a</t>
  </si>
  <si>
    <t>Flare</t>
  </si>
  <si>
    <t>ᚸ</t>
  </si>
  <si>
    <t>FIR-5b</t>
  </si>
  <si>
    <t>U+16B8</t>
  </si>
  <si>
    <t>ᚹ</t>
  </si>
  <si>
    <t>U+16B9</t>
  </si>
  <si>
    <t>EAR-1a</t>
  </si>
  <si>
    <t>Raise</t>
  </si>
  <si>
    <t>ᚺ</t>
  </si>
  <si>
    <t>EAR-1b</t>
  </si>
  <si>
    <t>U+16BA</t>
  </si>
  <si>
    <t>Sink</t>
  </si>
  <si>
    <t>ᚻ</t>
  </si>
  <si>
    <t>U+16BB</t>
  </si>
  <si>
    <t>EAR-2a</t>
  </si>
  <si>
    <t>Harden</t>
  </si>
  <si>
    <t>ᚼ</t>
  </si>
  <si>
    <t>EAR-2b</t>
  </si>
  <si>
    <t>U+16BC</t>
  </si>
  <si>
    <t>Crumble</t>
  </si>
  <si>
    <t>ᚽ</t>
  </si>
  <si>
    <t>U+16BD</t>
  </si>
  <si>
    <t>EAR-3a</t>
  </si>
  <si>
    <t>Root</t>
  </si>
  <si>
    <t>ᚾ</t>
  </si>
  <si>
    <t>EAR-3b</t>
  </si>
  <si>
    <t>U+16BE</t>
  </si>
  <si>
    <t>Quake</t>
  </si>
  <si>
    <t>ᚿ</t>
  </si>
  <si>
    <t>U+16BF</t>
  </si>
  <si>
    <t>EAR-4a</t>
  </si>
  <si>
    <t>ᛀ</t>
  </si>
  <si>
    <t>EAR-4b</t>
  </si>
  <si>
    <t>U+16C0</t>
  </si>
  <si>
    <t>ᛁ</t>
  </si>
  <si>
    <t>U+16C1</t>
  </si>
  <si>
    <t>EAR-5a</t>
  </si>
  <si>
    <t>ᛂ</t>
  </si>
  <si>
    <t>EAR-5b</t>
  </si>
  <si>
    <t>U+16C2</t>
  </si>
  <si>
    <t>ᛃ</t>
  </si>
  <si>
    <t>U+16C3</t>
  </si>
  <si>
    <t>WIN-1a</t>
  </si>
  <si>
    <t>ᛄ</t>
  </si>
  <si>
    <t>WIN-1b</t>
  </si>
  <si>
    <t>U+16C4</t>
  </si>
  <si>
    <t>Lull</t>
  </si>
  <si>
    <t>ᛅ</t>
  </si>
  <si>
    <t>U+16C5</t>
  </si>
  <si>
    <t>WIN-2a</t>
  </si>
  <si>
    <t>Updraft</t>
  </si>
  <si>
    <t>ᛆ</t>
  </si>
  <si>
    <t>WIN-2b</t>
  </si>
  <si>
    <t>U+16C6</t>
  </si>
  <si>
    <t>Downdraft</t>
  </si>
  <si>
    <t>ᛇ</t>
  </si>
  <si>
    <t>U+16C7</t>
  </si>
  <si>
    <t>WIN-3a</t>
  </si>
  <si>
    <t>ᛈ</t>
  </si>
  <si>
    <t>WIN-3b</t>
  </si>
  <si>
    <t>U+16C8</t>
  </si>
  <si>
    <t>Buffer</t>
  </si>
  <si>
    <t>ᛉ</t>
  </si>
  <si>
    <t>U+16C9</t>
  </si>
  <si>
    <t>WIN-4a</t>
  </si>
  <si>
    <t>Tailwind</t>
  </si>
  <si>
    <t>ᛊ</t>
  </si>
  <si>
    <t>WIN-4b</t>
  </si>
  <si>
    <t>U+16CA</t>
  </si>
  <si>
    <t>ᛋ</t>
  </si>
  <si>
    <t>U+16CB</t>
  </si>
  <si>
    <t>WIN-5a</t>
  </si>
  <si>
    <t>Whirl</t>
  </si>
  <si>
    <t>ᛌ</t>
  </si>
  <si>
    <t>WIN-5b</t>
  </si>
  <si>
    <t>U+16CC</t>
  </si>
  <si>
    <t>Disperse</t>
  </si>
  <si>
    <t>ᛍ</t>
  </si>
  <si>
    <t>U+16CD</t>
  </si>
  <si>
    <t>LIG-1a</t>
  </si>
  <si>
    <t>Charge</t>
  </si>
  <si>
    <t>ᛎ</t>
  </si>
  <si>
    <t>LIG-1b</t>
  </si>
  <si>
    <t>U+16CE</t>
  </si>
  <si>
    <t>Discharge</t>
  </si>
  <si>
    <t>ᛏ</t>
  </si>
  <si>
    <t>U+16CF</t>
  </si>
  <si>
    <t>LIG-2a</t>
  </si>
  <si>
    <t>Arc</t>
  </si>
  <si>
    <t>ᛐ</t>
  </si>
  <si>
    <t>LIG-2b</t>
  </si>
  <si>
    <t>U+16D0</t>
  </si>
  <si>
    <t>Insulate</t>
  </si>
  <si>
    <t>ᛑ</t>
  </si>
  <si>
    <t>U+16D1</t>
  </si>
  <si>
    <t>LIG-3a</t>
  </si>
  <si>
    <t>ᛒ</t>
  </si>
  <si>
    <t>LIG-3b</t>
  </si>
  <si>
    <t>U+16D2</t>
  </si>
  <si>
    <t>ᛓ</t>
  </si>
  <si>
    <t>U+16D3</t>
  </si>
  <si>
    <t>LIG-4a</t>
  </si>
  <si>
    <t>Quicken</t>
  </si>
  <si>
    <t>ᛔ</t>
  </si>
  <si>
    <t>LIG-4b</t>
  </si>
  <si>
    <t>U+16D4</t>
  </si>
  <si>
    <t>ᛕ</t>
  </si>
  <si>
    <t>U+16D5</t>
  </si>
  <si>
    <t>LIG-5a</t>
  </si>
  <si>
    <t>ᛖ</t>
  </si>
  <si>
    <t>LIG-5b</t>
  </si>
  <si>
    <t>U+16D6</t>
  </si>
  <si>
    <t>ᛗ</t>
  </si>
  <si>
    <t>U+16D7</t>
  </si>
  <si>
    <t>ICE-1a</t>
  </si>
  <si>
    <t>Freeze</t>
  </si>
  <si>
    <t>🜀</t>
  </si>
  <si>
    <t>ICE-1b</t>
  </si>
  <si>
    <t>U+1F700</t>
  </si>
  <si>
    <t>Thaw</t>
  </si>
  <si>
    <t>🜁</t>
  </si>
  <si>
    <t>U+1F701</t>
  </si>
  <si>
    <t>ICE-2a</t>
  </si>
  <si>
    <t>Rime</t>
  </si>
  <si>
    <t>🜂</t>
  </si>
  <si>
    <t>ICE-2b</t>
  </si>
  <si>
    <t>U+1F702</t>
  </si>
  <si>
    <t>Shatter</t>
  </si>
  <si>
    <t>🜃</t>
  </si>
  <si>
    <t>U+1F703</t>
  </si>
  <si>
    <t>ICE-3a</t>
  </si>
  <si>
    <t>Frost</t>
  </si>
  <si>
    <t>🜄</t>
  </si>
  <si>
    <t>ICE-3b</t>
  </si>
  <si>
    <t>U+1F704</t>
  </si>
  <si>
    <t>🜅</t>
  </si>
  <si>
    <t>U+1F705</t>
  </si>
  <si>
    <t>ICE-4a</t>
  </si>
  <si>
    <t>Brittle</t>
  </si>
  <si>
    <t>🜆</t>
  </si>
  <si>
    <t>ICE-4b</t>
  </si>
  <si>
    <t>U+1F706</t>
  </si>
  <si>
    <t>Toughen</t>
  </si>
  <si>
    <t>🜇</t>
  </si>
  <si>
    <t>U+1F707</t>
  </si>
  <si>
    <t>ICE-5a</t>
  </si>
  <si>
    <t>🜈</t>
  </si>
  <si>
    <t>ICE-5b</t>
  </si>
  <si>
    <t>U+1F708</t>
  </si>
  <si>
    <t>🜉</t>
  </si>
  <si>
    <t>U+1F709</t>
  </si>
  <si>
    <t>DRK-1a</t>
  </si>
  <si>
    <t>🜊</t>
  </si>
  <si>
    <t>DRK-1b</t>
  </si>
  <si>
    <t>U+1F70A</t>
  </si>
  <si>
    <t>🜋</t>
  </si>
  <si>
    <t>U+1F70B</t>
  </si>
  <si>
    <t>DRK-2a</t>
  </si>
  <si>
    <t>🜌</t>
  </si>
  <si>
    <t>DRK-2b</t>
  </si>
  <si>
    <t>U+1F70C</t>
  </si>
  <si>
    <t>🜍</t>
  </si>
  <si>
    <t>U+1F70D</t>
  </si>
  <si>
    <t>DRK-3a</t>
  </si>
  <si>
    <t>Shadowstep</t>
  </si>
  <si>
    <t>🜎</t>
  </si>
  <si>
    <t>DRK-3b</t>
  </si>
  <si>
    <t>U+1F70E</t>
  </si>
  <si>
    <t>Pin</t>
  </si>
  <si>
    <t>🜏</t>
  </si>
  <si>
    <t>U+1F70F</t>
  </si>
  <si>
    <t>DRK-4a</t>
  </si>
  <si>
    <t>Devour</t>
  </si>
  <si>
    <t>🜐</t>
  </si>
  <si>
    <t>DRK-4b</t>
  </si>
  <si>
    <t>U+1F710</t>
  </si>
  <si>
    <t>Disgorge</t>
  </si>
  <si>
    <t>🜑</t>
  </si>
  <si>
    <t>U+1F711</t>
  </si>
  <si>
    <t>DRK-5a</t>
  </si>
  <si>
    <t>Dread</t>
  </si>
  <si>
    <t>🜒</t>
  </si>
  <si>
    <t>DRK-5b</t>
  </si>
  <si>
    <t>U+1F712</t>
  </si>
  <si>
    <t>Hush</t>
  </si>
  <si>
    <t>🜓</t>
  </si>
  <si>
    <t>U+1F713</t>
  </si>
  <si>
    <t>MET-1a</t>
  </si>
  <si>
    <t>Forge</t>
  </si>
  <si>
    <t>🜔</t>
  </si>
  <si>
    <t>MET-1b</t>
  </si>
  <si>
    <t>U+1F714</t>
  </si>
  <si>
    <t>Rust</t>
  </si>
  <si>
    <t>🜕</t>
  </si>
  <si>
    <t>U+1F715</t>
  </si>
  <si>
    <t>MET-2a</t>
  </si>
  <si>
    <t>🜖</t>
  </si>
  <si>
    <t>MET-2b</t>
  </si>
  <si>
    <t>U+1F716</t>
  </si>
  <si>
    <t>🜗</t>
  </si>
  <si>
    <t>U+1F717</t>
  </si>
  <si>
    <t>MET-3a</t>
  </si>
  <si>
    <t>Hone</t>
  </si>
  <si>
    <t>🜘</t>
  </si>
  <si>
    <t>MET-3b</t>
  </si>
  <si>
    <t>U+1F718</t>
  </si>
  <si>
    <t>Dull</t>
  </si>
  <si>
    <t>🜙</t>
  </si>
  <si>
    <t>U+1F719</t>
  </si>
  <si>
    <t>MET-4a</t>
  </si>
  <si>
    <t>Plate</t>
  </si>
  <si>
    <t>🜚</t>
  </si>
  <si>
    <t>MET-4b</t>
  </si>
  <si>
    <t>U+1F71A</t>
  </si>
  <si>
    <t>Strip</t>
  </si>
  <si>
    <t>🜛</t>
  </si>
  <si>
    <t>U+1F71B</t>
  </si>
  <si>
    <t>MET-5a</t>
  </si>
  <si>
    <t>🜜</t>
  </si>
  <si>
    <t>MET-5b</t>
  </si>
  <si>
    <t>U+1F71C</t>
  </si>
  <si>
    <t>🜝</t>
  </si>
  <si>
    <t>U+1F71D</t>
  </si>
  <si>
    <t>BLD-1a</t>
  </si>
  <si>
    <t>Bleed</t>
  </si>
  <si>
    <t>🜞</t>
  </si>
  <si>
    <t>BLD-1b</t>
  </si>
  <si>
    <t>U+1F71E</t>
  </si>
  <si>
    <t>Staunch</t>
  </si>
  <si>
    <t>🜟</t>
  </si>
  <si>
    <t>U+1F71F</t>
  </si>
  <si>
    <t>BLD-2a</t>
  </si>
  <si>
    <t>Drink</t>
  </si>
  <si>
    <t>🜠</t>
  </si>
  <si>
    <t>BLD-2b</t>
  </si>
  <si>
    <t>U+1F720</t>
  </si>
  <si>
    <t>Spill</t>
  </si>
  <si>
    <t>🜡</t>
  </si>
  <si>
    <t>U+1F721</t>
  </si>
  <si>
    <t>BLD-3a</t>
  </si>
  <si>
    <t>🜢</t>
  </si>
  <si>
    <t>BLD-3b</t>
  </si>
  <si>
    <t>U+1F722</t>
  </si>
  <si>
    <t>Thin</t>
  </si>
  <si>
    <t>🜣</t>
  </si>
  <si>
    <t>U+1F723</t>
  </si>
  <si>
    <t>BLD-4a</t>
  </si>
  <si>
    <t>🜤</t>
  </si>
  <si>
    <t>BLD-4b</t>
  </si>
  <si>
    <t>U+1F724</t>
  </si>
  <si>
    <t>Stall</t>
  </si>
  <si>
    <t>🜥</t>
  </si>
  <si>
    <t>U+1F725</t>
  </si>
  <si>
    <t>BLD-5a</t>
  </si>
  <si>
    <t>🜦</t>
  </si>
  <si>
    <t>BLD-5b</t>
  </si>
  <si>
    <t>U+1F726</t>
  </si>
  <si>
    <t>🜧</t>
  </si>
  <si>
    <t>U+1F727</t>
  </si>
  <si>
    <t>LIF-1a</t>
  </si>
  <si>
    <t>🜨</t>
  </si>
  <si>
    <t>LIF-1b</t>
  </si>
  <si>
    <t>U+1F728</t>
  </si>
  <si>
    <t>Wither</t>
  </si>
  <si>
    <t>🜩</t>
  </si>
  <si>
    <t>U+1F729</t>
  </si>
  <si>
    <t>LIF-2a</t>
  </si>
  <si>
    <t>🜪</t>
  </si>
  <si>
    <t>LIF-2b</t>
  </si>
  <si>
    <t>U+1F72A</t>
  </si>
  <si>
    <t>🜫</t>
  </si>
  <si>
    <t>U+1F72B</t>
  </si>
  <si>
    <t>LIF-3a</t>
  </si>
  <si>
    <t>🜬</t>
  </si>
  <si>
    <t>LIF-3b</t>
  </si>
  <si>
    <t>U+1F72C</t>
  </si>
  <si>
    <t>Exhaust</t>
  </si>
  <si>
    <t>🜭</t>
  </si>
  <si>
    <t>U+1F72D</t>
  </si>
  <si>
    <t>LIF-4a</t>
  </si>
  <si>
    <t>Regrow</t>
  </si>
  <si>
    <t>🜮</t>
  </si>
  <si>
    <t>LIF-4b</t>
  </si>
  <si>
    <t>U+1F72E</t>
  </si>
  <si>
    <t>Arrest</t>
  </si>
  <si>
    <t>🜯</t>
  </si>
  <si>
    <t>U+1F72F</t>
  </si>
  <si>
    <t>LIF-5a</t>
  </si>
  <si>
    <t>🜰</t>
  </si>
  <si>
    <t>LIF-5b</t>
  </si>
  <si>
    <t>U+1F730</t>
  </si>
  <si>
    <t>🜱</t>
  </si>
  <si>
    <t>U+1F731</t>
  </si>
  <si>
    <t>DTH-1a</t>
  </si>
  <si>
    <t>🜲</t>
  </si>
  <si>
    <t>DTH-1b</t>
  </si>
  <si>
    <t>U+1F732</t>
  </si>
  <si>
    <t>Spare</t>
  </si>
  <si>
    <t>🜳</t>
  </si>
  <si>
    <t>U+1F733</t>
  </si>
  <si>
    <t>DTH-2a</t>
  </si>
  <si>
    <t>🜴</t>
  </si>
  <si>
    <t>DTH-2b</t>
  </si>
  <si>
    <t>U+1F734</t>
  </si>
  <si>
    <t>Lay</t>
  </si>
  <si>
    <t>🜵</t>
  </si>
  <si>
    <t>U+1F735</t>
  </si>
  <si>
    <t>DTH-3a</t>
  </si>
  <si>
    <t>Rot</t>
  </si>
  <si>
    <t>🜶</t>
  </si>
  <si>
    <t>DTH-3b</t>
  </si>
  <si>
    <t>U+1F736</t>
  </si>
  <si>
    <t>Preserve</t>
  </si>
  <si>
    <t>🜷</t>
  </si>
  <si>
    <t>U+1F737</t>
  </si>
  <si>
    <t>DTH-4a</t>
  </si>
  <si>
    <t>Haunt</t>
  </si>
  <si>
    <t>🜸</t>
  </si>
  <si>
    <t>DTH-4b</t>
  </si>
  <si>
    <t>U+1F738</t>
  </si>
  <si>
    <t>Exorcise</t>
  </si>
  <si>
    <t>🜹</t>
  </si>
  <si>
    <t>U+1F739</t>
  </si>
  <si>
    <t>DTH-5a</t>
  </si>
  <si>
    <t>🜺</t>
  </si>
  <si>
    <t>DTH-5b</t>
  </si>
  <si>
    <t>U+1F73A</t>
  </si>
  <si>
    <t>🜻</t>
  </si>
  <si>
    <t>U+1F73B</t>
  </si>
  <si>
    <t>NAT-1a</t>
  </si>
  <si>
    <t>Sprout</t>
  </si>
  <si>
    <t>🜼</t>
  </si>
  <si>
    <t>NAT-1b</t>
  </si>
  <si>
    <t>U+1F73C</t>
  </si>
  <si>
    <t>Wilt</t>
  </si>
  <si>
    <t>🜽</t>
  </si>
  <si>
    <t>U+1F73D</t>
  </si>
  <si>
    <t>NAT-2a</t>
  </si>
  <si>
    <t>Tangle</t>
  </si>
  <si>
    <t>🜾</t>
  </si>
  <si>
    <t>NAT-2b</t>
  </si>
  <si>
    <t>U+1F73E</t>
  </si>
  <si>
    <t>Unravel</t>
  </si>
  <si>
    <t>🜿</t>
  </si>
  <si>
    <t>U+1F73F</t>
  </si>
  <si>
    <t>NAT-3a</t>
  </si>
  <si>
    <t>🝀</t>
  </si>
  <si>
    <t>NAT-3b</t>
  </si>
  <si>
    <t>U+1F740</t>
  </si>
  <si>
    <t>🝁</t>
  </si>
  <si>
    <t>U+1F741</t>
  </si>
  <si>
    <t>NAT-4a</t>
  </si>
  <si>
    <t>🝂</t>
  </si>
  <si>
    <t>NAT-4b</t>
  </si>
  <si>
    <t>U+1F742</t>
  </si>
  <si>
    <t>🝃</t>
  </si>
  <si>
    <t>U+1F743</t>
  </si>
  <si>
    <t>NAT-5a</t>
  </si>
  <si>
    <t>🝄</t>
  </si>
  <si>
    <t>NAT-5b</t>
  </si>
  <si>
    <t>U+1F744</t>
  </si>
  <si>
    <t>🝅</t>
  </si>
  <si>
    <t>U+1F745</t>
  </si>
  <si>
    <t>LGT-1a</t>
  </si>
  <si>
    <t>Shine</t>
  </si>
  <si>
    <t>🝆</t>
  </si>
  <si>
    <t>LGT-1b</t>
  </si>
  <si>
    <t>U+1F746</t>
  </si>
  <si>
    <t>🝇</t>
  </si>
  <si>
    <t>U+1F747</t>
  </si>
  <si>
    <t>LGT-2a</t>
  </si>
  <si>
    <t>Lance</t>
  </si>
  <si>
    <t>🝈</t>
  </si>
  <si>
    <t>LGT-2b</t>
  </si>
  <si>
    <t>U+1F748</t>
  </si>
  <si>
    <t>Glow</t>
  </si>
  <si>
    <t>🝉</t>
  </si>
  <si>
    <t>U+1F749</t>
  </si>
  <si>
    <t>LGT-3a</t>
  </si>
  <si>
    <t>Expose</t>
  </si>
  <si>
    <t>🝊</t>
  </si>
  <si>
    <t>LGT-3b</t>
  </si>
  <si>
    <t>U+1F74A</t>
  </si>
  <si>
    <t>🝋</t>
  </si>
  <si>
    <t>U+1F74B</t>
  </si>
  <si>
    <t>LGT-4a</t>
  </si>
  <si>
    <t>🝌</t>
  </si>
  <si>
    <t>LGT-4b</t>
  </si>
  <si>
    <t>U+1F74C</t>
  </si>
  <si>
    <t>Clarity</t>
  </si>
  <si>
    <t>🝍</t>
  </si>
  <si>
    <t>U+1F74D</t>
  </si>
  <si>
    <t>LGT-5a</t>
  </si>
  <si>
    <t>🝎</t>
  </si>
  <si>
    <t>LGT-5b</t>
  </si>
  <si>
    <t>U+1F74E</t>
  </si>
  <si>
    <t>🝏</t>
  </si>
  <si>
    <t>U+1F74F</t>
  </si>
  <si>
    <t>DRM-1a</t>
  </si>
  <si>
    <t>Sleep</t>
  </si>
  <si>
    <t>🝐</t>
  </si>
  <si>
    <t>DRM-1b</t>
  </si>
  <si>
    <t>U+1F750</t>
  </si>
  <si>
    <t>Wake</t>
  </si>
  <si>
    <t>🝑</t>
  </si>
  <si>
    <t>U+1F751</t>
  </si>
  <si>
    <t>DRM-2a</t>
  </si>
  <si>
    <t>🝒</t>
  </si>
  <si>
    <t>DRM-2b</t>
  </si>
  <si>
    <t>U+1F752</t>
  </si>
  <si>
    <t>Dispel</t>
  </si>
  <si>
    <t>🝓</t>
  </si>
  <si>
    <t>U+1F753</t>
  </si>
  <si>
    <t>DRM-3a</t>
  </si>
  <si>
    <t>🝔</t>
  </si>
  <si>
    <t>DRM-3b</t>
  </si>
  <si>
    <t>U+1F754</t>
  </si>
  <si>
    <t>🝕</t>
  </si>
  <si>
    <t>U+1F755</t>
  </si>
  <si>
    <t>DRM-4a</t>
  </si>
  <si>
    <t>🝖</t>
  </si>
  <si>
    <t>DRM-4b</t>
  </si>
  <si>
    <t>U+1F756</t>
  </si>
  <si>
    <t>🝗</t>
  </si>
  <si>
    <t>U+1F757</t>
  </si>
  <si>
    <t>DRM-5a</t>
  </si>
  <si>
    <t>Whisper</t>
  </si>
  <si>
    <t>🝘</t>
  </si>
  <si>
    <t>DRM-5b</t>
  </si>
  <si>
    <t>U+1F758</t>
  </si>
  <si>
    <t>Shut</t>
  </si>
  <si>
    <t>🝙</t>
  </si>
  <si>
    <t>U+1F759</t>
  </si>
  <si>
    <t>POI-1a</t>
  </si>
  <si>
    <t>🝚</t>
  </si>
  <si>
    <t>POI-1b</t>
  </si>
  <si>
    <t>U+1F75A</t>
  </si>
  <si>
    <t>Purge</t>
  </si>
  <si>
    <t>🝛</t>
  </si>
  <si>
    <t>U+1F75B</t>
  </si>
  <si>
    <t>POI-2a</t>
  </si>
  <si>
    <t>Sap</t>
  </si>
  <si>
    <t>🝜</t>
  </si>
  <si>
    <t>POI-2b</t>
  </si>
  <si>
    <t>U+1F75C</t>
  </si>
  <si>
    <t>Stimulate</t>
  </si>
  <si>
    <t>🝝</t>
  </si>
  <si>
    <t>U+1F75D</t>
  </si>
  <si>
    <t>POI-3a</t>
  </si>
  <si>
    <t>🝞</t>
  </si>
  <si>
    <t>POI-3b</t>
  </si>
  <si>
    <t>U+1F75E</t>
  </si>
  <si>
    <t>🝟</t>
  </si>
  <si>
    <t>U+1F75F</t>
  </si>
  <si>
    <t>POI-4a</t>
  </si>
  <si>
    <t>Spread</t>
  </si>
  <si>
    <t>🝠</t>
  </si>
  <si>
    <t>POI-4b</t>
  </si>
  <si>
    <t>U+1F760</t>
  </si>
  <si>
    <t>🝡</t>
  </si>
  <si>
    <t>U+1F761</t>
  </si>
  <si>
    <t>POI-5a</t>
  </si>
  <si>
    <t>Linger</t>
  </si>
  <si>
    <t>🝢</t>
  </si>
  <si>
    <t>POI-5b</t>
  </si>
  <si>
    <t>U+1F762</t>
  </si>
  <si>
    <t>Flush</t>
  </si>
  <si>
    <t>🝣</t>
  </si>
  <si>
    <t>U+1F763</t>
  </si>
  <si>
    <t>DIS-1a</t>
  </si>
  <si>
    <t>Billow</t>
  </si>
  <si>
    <t>🝤</t>
  </si>
  <si>
    <t>DIS-1b</t>
  </si>
  <si>
    <t>U+1F764</t>
  </si>
  <si>
    <t>Clear</t>
  </si>
  <si>
    <t>🝥</t>
  </si>
  <si>
    <t>U+1F765</t>
  </si>
  <si>
    <t>DIS-2a</t>
  </si>
  <si>
    <t>Fester</t>
  </si>
  <si>
    <t>🝦</t>
  </si>
  <si>
    <t>DIS-2b</t>
  </si>
  <si>
    <t>U+1F766</t>
  </si>
  <si>
    <t>Seal</t>
  </si>
  <si>
    <t>🝧</t>
  </si>
  <si>
    <t>U+1F767</t>
  </si>
  <si>
    <t>DIS-3a</t>
  </si>
  <si>
    <t>Choke</t>
  </si>
  <si>
    <t>🝨</t>
  </si>
  <si>
    <t>DIS-3b</t>
  </si>
  <si>
    <t>U+1F768</t>
  </si>
  <si>
    <t>Breathe</t>
  </si>
  <si>
    <t>🝩</t>
  </si>
  <si>
    <t>U+1F769</t>
  </si>
  <si>
    <t>DIS-4a</t>
  </si>
  <si>
    <t>🝪</t>
  </si>
  <si>
    <t>DIS-4b</t>
  </si>
  <si>
    <t>U+1F76A</t>
  </si>
  <si>
    <t>Lift</t>
  </si>
  <si>
    <t>🝫</t>
  </si>
  <si>
    <t>U+1F76B</t>
  </si>
  <si>
    <t>DIS-5a</t>
  </si>
  <si>
    <t>🝬</t>
  </si>
  <si>
    <t>DIS-5b</t>
  </si>
  <si>
    <t>U+1F76C</t>
  </si>
  <si>
    <t>🝭</t>
  </si>
  <si>
    <t>U+1F76D</t>
  </si>
  <si>
    <t>As a means</t>
  </si>
  <si>
    <t>UNI-01a</t>
  </si>
  <si>
    <t>Motion</t>
  </si>
  <si>
    <t>⇢</t>
  </si>
  <si>
    <t>UNI-01b</t>
  </si>
  <si>
    <t>it travels, or moves what it touches</t>
  </si>
  <si>
    <t>Stillness</t>
  </si>
  <si>
    <t>⊡</t>
  </si>
  <si>
    <t>it is held in place; what it touches is held</t>
  </si>
  <si>
    <t>UNI-02a</t>
  </si>
  <si>
    <t>Haste</t>
  </si>
  <si>
    <t>»</t>
  </si>
  <si>
    <t>UNI-02b</t>
  </si>
  <si>
    <t>sooner and faster</t>
  </si>
  <si>
    <t>Delay</t>
  </si>
  <si>
    <t>«</t>
  </si>
  <si>
    <t>later: delayed, built up</t>
  </si>
  <si>
    <t>UNI-03a</t>
  </si>
  <si>
    <t>Curve</t>
  </si>
  <si>
    <t>↷</t>
  </si>
  <si>
    <t>UNI-03b</t>
  </si>
  <si>
    <t>it bends and seeks</t>
  </si>
  <si>
    <t>Straight</t>
  </si>
  <si>
    <t>⇥</t>
  </si>
  <si>
    <t>a true line that cannot be turned aside</t>
  </si>
  <si>
    <t>UNI-04a</t>
  </si>
  <si>
    <t>Rise</t>
  </si>
  <si>
    <t>↑</t>
  </si>
  <si>
    <t>UNI-04b</t>
  </si>
  <si>
    <t>lifts</t>
  </si>
  <si>
    <t>Fall</t>
  </si>
  <si>
    <t>↓</t>
  </si>
  <si>
    <t>brings down, knocks flat</t>
  </si>
  <si>
    <t>UNI-05a</t>
  </si>
  <si>
    <t>Expand</t>
  </si>
  <si>
    <t>◯</t>
  </si>
  <si>
    <t>UNI-05b</t>
  </si>
  <si>
    <t>grows outward, bigger</t>
  </si>
  <si>
    <t>Contract</t>
  </si>
  <si>
    <t>◉</t>
  </si>
  <si>
    <t>draws inward, smaller and denser</t>
  </si>
  <si>
    <t>UNI-06a</t>
  </si>
  <si>
    <t>Near</t>
  </si>
  <si>
    <t>⊚</t>
  </si>
  <si>
    <t>UNI-06b</t>
  </si>
  <si>
    <t>close, and stronger close</t>
  </si>
  <si>
    <t>Far</t>
  </si>
  <si>
    <t>⋯</t>
  </si>
  <si>
    <t>at a distance, with reach</t>
  </si>
  <si>
    <t>UNI-07a</t>
  </si>
  <si>
    <t>Focus</t>
  </si>
  <si>
    <t>⊙</t>
  </si>
  <si>
    <t>UNI-07b</t>
  </si>
  <si>
    <t>concentrated on a point or an edge</t>
  </si>
  <si>
    <t>Scatter</t>
  </si>
  <si>
    <t>⁘</t>
  </si>
  <si>
    <t>spread wide</t>
  </si>
  <si>
    <t>UNI-08a</t>
  </si>
  <si>
    <t>One</t>
  </si>
  <si>
    <t>◆</t>
  </si>
  <si>
    <t>UNI-08b</t>
  </si>
  <si>
    <t>a single target takes all of it</t>
  </si>
  <si>
    <t>Many</t>
  </si>
  <si>
    <t>⁖</t>
  </si>
  <si>
    <t>many targets, or many copies</t>
  </si>
  <si>
    <t>UNI-09a</t>
  </si>
  <si>
    <t>Within</t>
  </si>
  <si>
    <t>▣</t>
  </si>
  <si>
    <t>UNI-09b</t>
  </si>
  <si>
    <t>inside the target, past armour</t>
  </si>
  <si>
    <t>Without</t>
  </si>
  <si>
    <t>□</t>
  </si>
  <si>
    <t>outside, around: a shell</t>
  </si>
  <si>
    <t>UNI-10a</t>
  </si>
  <si>
    <t>Here</t>
  </si>
  <si>
    <t>⌖</t>
  </si>
  <si>
    <t>UNI-10b</t>
  </si>
  <si>
    <t>at the spot</t>
  </si>
  <si>
    <t>Elsewhere</t>
  </si>
  <si>
    <t>⤳</t>
  </si>
  <si>
    <t>displaced: it lands, or moves you, somewhere else</t>
  </si>
  <si>
    <t>UNI-11a</t>
  </si>
  <si>
    <t>Persist</t>
  </si>
  <si>
    <t>∞</t>
  </si>
  <si>
    <t>UNI-11b</t>
  </si>
  <si>
    <t>lasts</t>
  </si>
  <si>
    <t>Fade</t>
  </si>
  <si>
    <t>◌</t>
  </si>
  <si>
    <t>short, ends early, stronger while it lasts</t>
  </si>
  <si>
    <t>UNI-12a</t>
  </si>
  <si>
    <t>Hold</t>
  </si>
  <si>
    <t>⧗</t>
  </si>
  <si>
    <t>UNI-12b</t>
  </si>
  <si>
    <t>charged by holding it</t>
  </si>
  <si>
    <t>Loose</t>
  </si>
  <si>
    <t>⇡</t>
  </si>
  <si>
    <t>let go at once</t>
  </si>
  <si>
    <t>UNI-13a</t>
  </si>
  <si>
    <t>Repeat</t>
  </si>
  <si>
    <t>↻</t>
  </si>
  <si>
    <t>UNI-13b</t>
  </si>
  <si>
    <t>happens again</t>
  </si>
  <si>
    <t>Once</t>
  </si>
  <si>
    <t>⊣</t>
  </si>
  <si>
    <t>one time, all of it at once</t>
  </si>
  <si>
    <t>UNI-14a</t>
  </si>
  <si>
    <t>Before</t>
  </si>
  <si>
    <t>⟲</t>
  </si>
  <si>
    <t>UNI-14b</t>
  </si>
  <si>
    <t>acts on what was: undo, rewind</t>
  </si>
  <si>
    <t>After</t>
  </si>
  <si>
    <t>⟳</t>
  </si>
  <si>
    <t>acts on what comes: foresight, the next hit</t>
  </si>
  <si>
    <t>UNI-15a</t>
  </si>
  <si>
    <t>Bind</t>
  </si>
  <si>
    <t>⧓</t>
  </si>
  <si>
    <t>UNI-15b</t>
  </si>
  <si>
    <t>joins, holds, tethers</t>
  </si>
  <si>
    <t>Sever</t>
  </si>
  <si>
    <t>⫽</t>
  </si>
  <si>
    <t>cuts, separates</t>
  </si>
  <si>
    <t>UNI-16a</t>
  </si>
  <si>
    <t>Attract</t>
  </si>
  <si>
    <t>⇇</t>
  </si>
  <si>
    <t>UNI-16b</t>
  </si>
  <si>
    <t>pulls toward</t>
  </si>
  <si>
    <t>Repel</t>
  </si>
  <si>
    <t>⇉</t>
  </si>
  <si>
    <t>pushes away</t>
  </si>
  <si>
    <t>UNI-17a</t>
  </si>
  <si>
    <t>Give</t>
  </si>
  <si>
    <t>⊳</t>
  </si>
  <si>
    <t>UNI-17b</t>
  </si>
  <si>
    <t>grants to the target</t>
  </si>
  <si>
    <t>Take</t>
  </si>
  <si>
    <t>⊲</t>
  </si>
  <si>
    <t>takes from the target, to you</t>
  </si>
  <si>
    <t>UNI-18a</t>
  </si>
  <si>
    <t>Self</t>
  </si>
  <si>
    <t>☉</t>
  </si>
  <si>
    <t>UNI-18b</t>
  </si>
  <si>
    <t>acts on the caster</t>
  </si>
  <si>
    <t>Other</t>
  </si>
  <si>
    <t>⚬</t>
  </si>
  <si>
    <t>acts on others</t>
  </si>
  <si>
    <t>UNI-19a</t>
  </si>
  <si>
    <t>Order</t>
  </si>
  <si>
    <t>⊞</t>
  </si>
  <si>
    <t>UNI-19b</t>
  </si>
  <si>
    <t>makes form and structure</t>
  </si>
  <si>
    <t>Entropy</t>
  </si>
  <si>
    <t>⁂</t>
  </si>
  <si>
    <t>unmakes it</t>
  </si>
  <si>
    <t>UNI-20a</t>
  </si>
  <si>
    <t>Pure</t>
  </si>
  <si>
    <t>◇</t>
  </si>
  <si>
    <t>UNI-20b</t>
  </si>
  <si>
    <t>cleanses</t>
  </si>
  <si>
    <t>Tainted</t>
  </si>
  <si>
    <t>◈</t>
  </si>
  <si>
    <t>corrupts, sickens</t>
  </si>
  <si>
    <t>UNI-21a</t>
  </si>
  <si>
    <t>Reveal</t>
  </si>
  <si>
    <t>☼</t>
  </si>
  <si>
    <t>UNI-21b</t>
  </si>
  <si>
    <t>shows</t>
  </si>
  <si>
    <t>Veil</t>
  </si>
  <si>
    <t>◒</t>
  </si>
  <si>
    <t>hides</t>
  </si>
  <si>
    <t>UNI-22a</t>
  </si>
  <si>
    <t>Calm</t>
  </si>
  <si>
    <t>≈</t>
  </si>
  <si>
    <t>UNI-22b</t>
  </si>
  <si>
    <t>soothes, steadies</t>
  </si>
  <si>
    <t>Fury</t>
  </si>
  <si>
    <t>≋</t>
  </si>
  <si>
    <t>enrages, frenzies</t>
  </si>
  <si>
    <t>UNI-23a</t>
  </si>
  <si>
    <t>Will</t>
  </si>
  <si>
    <t>⇑</t>
  </si>
  <si>
    <t>UNI-23b</t>
  </si>
  <si>
    <t>commands</t>
  </si>
  <si>
    <t>Yield</t>
  </si>
  <si>
    <t>⇓</t>
  </si>
  <si>
    <t>gives way: softens, absorbs, submits</t>
  </si>
  <si>
    <t>UNI-24a</t>
  </si>
  <si>
    <t>Remember</t>
  </si>
  <si>
    <t>⊛</t>
  </si>
  <si>
    <t>UNI-24b</t>
  </si>
  <si>
    <t>marks and effects stick</t>
  </si>
  <si>
    <t>Forget</t>
  </si>
  <si>
    <t>⊘</t>
  </si>
  <si>
    <t>loses track, lets go</t>
  </si>
  <si>
    <t>UNI-25a</t>
  </si>
  <si>
    <t>Essence</t>
  </si>
  <si>
    <t>✦</t>
  </si>
  <si>
    <t>UNI-25b</t>
  </si>
  <si>
    <t>carried by clean essence</t>
  </si>
  <si>
    <t>Reflux</t>
  </si>
  <si>
    <t>✧</t>
  </si>
  <si>
    <t>carried by spent heat</t>
  </si>
  <si>
    <t>UNI-26a</t>
  </si>
  <si>
    <t>⚘</t>
  </si>
  <si>
    <t>UNI-26b</t>
  </si>
  <si>
    <t>carried by vitality</t>
  </si>
  <si>
    <t>⚱</t>
  </si>
  <si>
    <t>carried by ending</t>
  </si>
  <si>
    <t>UNI-27a</t>
  </si>
  <si>
    <t>Soul</t>
  </si>
  <si>
    <t>✵</t>
  </si>
  <si>
    <t>UNI-27b</t>
  </si>
  <si>
    <t>strikes the soul</t>
  </si>
  <si>
    <t>Body</t>
  </si>
  <si>
    <t>⬢</t>
  </si>
  <si>
    <t>strikes the flesh</t>
  </si>
  <si>
    <t>UNI-28a</t>
  </si>
  <si>
    <t>Fate</t>
  </si>
  <si>
    <t>⊜</t>
  </si>
  <si>
    <t>UNI-28b</t>
  </si>
  <si>
    <t>certain</t>
  </si>
  <si>
    <t>Chance</t>
  </si>
  <si>
    <t>⚄</t>
  </si>
  <si>
    <t>random</t>
  </si>
  <si>
    <t>Rule: Moves bodies (shove and Crush); works the water that is already there (wetness)</t>
  </si>
  <si>
    <t>Deep dive: design/affinities/water.md  Status: Deep dive v0.  Source: existing (design/05); MODEL: wetness, from C.</t>
  </si>
  <si>
    <t>As a skill (the verb a skill is built on)</t>
  </si>
  <si>
    <t>As a means (added to another skill)</t>
  </si>
  <si>
    <t>Together (rune + opposite release)</t>
  </si>
  <si>
    <t>Skills on it</t>
  </si>
  <si>
    <t>Notes</t>
  </si>
  <si>
    <t>push bodies away</t>
  </si>
  <si>
    <t>adds a shove away from you</t>
  </si>
  <si>
    <t>Water Bolt (starter), Breaker (starter)</t>
  </si>
  <si>
    <t>draw bodies in</t>
  </si>
  <si>
    <t>adds a drag toward you</t>
  </si>
  <si>
    <t>Undertow, Riptide Lash</t>
  </si>
  <si>
    <t>Sluice Step (starter)</t>
  </si>
  <si>
    <t>Standing Pool</t>
  </si>
  <si>
    <t>saturate a target</t>
  </si>
  <si>
    <t>applies Soaked</t>
  </si>
  <si>
    <t>pull the water out of a body: damage by how wet it is</t>
  </si>
  <si>
    <t>Proposed skill: Wringing Grip</t>
  </si>
  <si>
    <t>Pressure Jet</t>
  </si>
  <si>
    <t>Proposed skill: Draw Water</t>
  </si>
  <si>
    <t>Backwash</t>
  </si>
  <si>
    <t>Proposed skill: Drowning Hold</t>
  </si>
  <si>
    <t>Blue: type here.  Green: pulled from Base Runes (rename a rune or change its character there).  Yellow: not written yet.</t>
  </si>
  <si>
    <t>Rule: Runs on its own heat</t>
  </si>
  <si>
    <t>Status: First pass.</t>
  </si>
  <si>
    <t>Cinder Spit, Flashover</t>
  </si>
  <si>
    <t>Bellows Breath</t>
  </si>
  <si>
    <t>blast outward</t>
  </si>
  <si>
    <t>flame rushing inward</t>
  </si>
  <si>
    <t>Backdraft</t>
  </si>
  <si>
    <t>Rule: Builds stone that stays</t>
  </si>
  <si>
    <t>stone up</t>
  </si>
  <si>
    <t>Raise Slab, Pillar</t>
  </si>
  <si>
    <t>ground down, pits</t>
  </si>
  <si>
    <t>solidify, armour</t>
  </si>
  <si>
    <t>Stonehide</t>
  </si>
  <si>
    <t>break stone and guard</t>
  </si>
  <si>
    <t>Landslide Blow</t>
  </si>
  <si>
    <t>anchor, stand firm</t>
  </si>
  <si>
    <t>Bedrock Shove</t>
  </si>
  <si>
    <t>shake, unbalance</t>
  </si>
  <si>
    <t>Tremor</t>
  </si>
  <si>
    <t>Rule: Paid for by moving (Slipstream)</t>
  </si>
  <si>
    <t>Gale Lane, Spindrift</t>
  </si>
  <si>
    <t>dead air; shots drop</t>
  </si>
  <si>
    <t>slam down</t>
  </si>
  <si>
    <t>Cutting Gust, Crosscut</t>
  </si>
  <si>
    <t>cushioning air</t>
  </si>
  <si>
    <t>Crosswind Veil</t>
  </si>
  <si>
    <t>spin together</t>
  </si>
  <si>
    <t>blow apart</t>
  </si>
  <si>
    <t>Rule: Marks a target, then overloads it</t>
  </si>
  <si>
    <t>build up marks</t>
  </si>
  <si>
    <t>Static Coat, Stored Bolt</t>
  </si>
  <si>
    <t>jump between targets</t>
  </si>
  <si>
    <t>Arc Lash, Forked Path</t>
  </si>
  <si>
    <t>block a jump, isolate a target</t>
  </si>
  <si>
    <t>Ground Rod</t>
  </si>
  <si>
    <t>nerves in overdrive</t>
  </si>
  <si>
    <t>Stepped Leader</t>
  </si>
  <si>
    <t>nerves locked</t>
  </si>
  <si>
    <t>Rule: What it freezes stays frozen</t>
  </si>
  <si>
    <t>Cold builds up on a target until it locks solid; frozen things turn brittle and break.  Status: First pass (new 2026-10-22).  Source: B 2026-10-21: ice is its own affinity, taking water's Freeze; MODEL: the rule.</t>
  </si>
  <si>
    <t>lock solid</t>
  </si>
  <si>
    <t>release, melt free</t>
  </si>
  <si>
    <t>break ice; brittle things burst</t>
  </si>
  <si>
    <t>creeping cold on the ground that grips and slows</t>
  </si>
  <si>
    <t>make a thing fragile</t>
  </si>
  <si>
    <t>cold-harden it</t>
  </si>
  <si>
    <t>Rule: Strongest where the light is weakest</t>
  </si>
  <si>
    <t>Shadows are places it can use: it hides in them, moves through them and feeds on light.  Status: First pass (new 2026-10-22).  Source: B 2026-10-21: dark is an affinity; MODEL: the rule.</t>
  </si>
  <si>
    <t>make it darker</t>
  </si>
  <si>
    <t>let the light back in</t>
  </si>
  <si>
    <t>move through shadows</t>
  </si>
  <si>
    <t>nail a target's shadow, and the target with it</t>
  </si>
  <si>
    <t>swallow light and energy</t>
  </si>
  <si>
    <t>release what was swallowed</t>
  </si>
  <si>
    <t>Rule: Worn and carried metal is its material</t>
  </si>
  <si>
    <t>Armoured enemies are a liability against metal: their own gear can be pulled, rung or stripped.  Status: First pass.  Source: MODEL.</t>
  </si>
  <si>
    <t>shape and harden metal</t>
  </si>
  <si>
    <t>corrode it</t>
  </si>
  <si>
    <t>sharpen</t>
  </si>
  <si>
    <t>blunt edges, theirs included</t>
  </si>
  <si>
    <t>armour up</t>
  </si>
  <si>
    <t>tear armour off</t>
  </si>
  <si>
    <t>Rule: Works the blood that is already out</t>
  </si>
  <si>
    <t>[B 2026-10-21] Blood does not pay in health. First-pass rule, to be settled in its deep dive: the wounds you open spill blood, and blood skills work that spilled and stored blood, like water working the water that is there.  Status: First pass.  Source: C: blood storage and blood-to-metal techniques exist; MODEL: the rule.</t>
  </si>
  <si>
    <t>open wounds</t>
  </si>
  <si>
    <t>close them</t>
  </si>
  <si>
    <t>take blood in</t>
  </si>
  <si>
    <t>give it out, as a weapon or a gift</t>
  </si>
  <si>
    <t>the heart pounds</t>
  </si>
  <si>
    <t>the heart slows</t>
  </si>
  <si>
    <t>Rule: Works inside living bodies</t>
  </si>
  <si>
    <t>Strongest on the living; does nothing to stone, constructs or the dead.  Status: First pass.  Source: C: life practitioners work inside a body, with consent; MODEL: the rule.</t>
  </si>
  <si>
    <t>harm from within</t>
  </si>
  <si>
    <t>grow muscle and body</t>
  </si>
  <si>
    <t>restore what was lost, limbs included</t>
  </si>
  <si>
    <t>stop healing</t>
  </si>
  <si>
    <t>Rule: What has died stays useful</t>
  </si>
  <si>
    <t>Corpses are its material, and anything below half health is its prey.  Status: First pass.  Source: C: death affinity and undeath exist; MODEL: the rule.</t>
  </si>
  <si>
    <t>finish the dying</t>
  </si>
  <si>
    <t>hold a life at the edge, for capture or mercy</t>
  </si>
  <si>
    <t>the dead get up</t>
  </si>
  <si>
    <t>put them down for good</t>
  </si>
  <si>
    <t>decay</t>
  </si>
  <si>
    <t>stop decay, the user's own body included</t>
  </si>
  <si>
    <t>what dies lingers as a spirit</t>
  </si>
  <si>
    <t>banish spirits and constructs</t>
  </si>
  <si>
    <t>Rule: Grows from the ground and keeps growing</t>
  </si>
  <si>
    <t>What it plants stays, spreads and gets stronger over time.  Status: First pass.  Source: C: nature is named; MODEL: the rule.</t>
  </si>
  <si>
    <t>vines bind</t>
  </si>
  <si>
    <t>free what is bound</t>
  </si>
  <si>
    <t>plant it to act later</t>
  </si>
  <si>
    <t>Rule: Straight and instant; reveals the hidden</t>
  </si>
  <si>
    <t>Status: First pass.  Source: MODEL: the rule.</t>
  </si>
  <si>
    <t>illuminate</t>
  </si>
  <si>
    <t>restore and sharpen sight</t>
  </si>
  <si>
    <t>Rule: The mind</t>
  </si>
  <si>
    <t>It needs the target to see it or to sleep, and it grows stronger on the dazed and sleeping.  Status: First pass.  Source: C: dream is a named, valued affinity; MODEL: the rule.</t>
  </si>
  <si>
    <t>put to sleep</t>
  </si>
  <si>
    <t>an illusion</t>
  </si>
  <si>
    <t>break illusions</t>
  </si>
  <si>
    <t>terror</t>
  </si>
  <si>
    <t>plant a command</t>
  </si>
  <si>
    <t>close the mind to others</t>
  </si>
  <si>
    <t>Rule: Doses stack inside a body and come due later</t>
  </si>
  <si>
    <t>dose a target</t>
  </si>
  <si>
    <t>clear doses</t>
  </si>
  <si>
    <t>weaken</t>
  </si>
  <si>
    <t>strengthen (poison as a drug)</t>
  </si>
  <si>
    <t>leave residue that stays</t>
  </si>
  <si>
    <t>clean an area out</t>
  </si>
  <si>
    <t>Rule: A cloud that only harms flesh</t>
  </si>
  <si>
    <t>Armour, stone and constructs ignore it; it lingers and drifts.  Status: First pass.  Source: B 2026-10-21: renamed from Miasma; C: miasma is flesh-only and armour counters it; MODEL: the rest.</t>
  </si>
  <si>
    <t>spread the cloud</t>
  </si>
  <si>
    <t>disperse it</t>
  </si>
  <si>
    <t>wounds rot</t>
  </si>
  <si>
    <t>it jumps body to body</t>
  </si>
  <si>
    <t>Heat (slider, 0-20)</t>
  </si>
  <si>
    <t>Heat (-1 to +1)</t>
  </si>
  <si>
    <t>Substance (slider, 0-20)</t>
  </si>
  <si>
    <t>Substance (-1 to +1)</t>
  </si>
  <si>
    <t>Vitality (slider, 0-20)</t>
  </si>
  <si>
    <t>Vitality (-1 to +1)</t>
  </si>
  <si>
    <t>Light (slider, 0-20)</t>
  </si>
  <si>
    <t>Light (-1 to +1)</t>
  </si>
  <si>
    <t>Mind/Matter (slider, 0-20)</t>
  </si>
  <si>
    <t>Mind/Matter (-1 to +1)</t>
  </si>
  <si>
    <t>The sliders on the Affinities sheet write the 0-20 numbers in columns B-F; columns G-K turn them into positions from -1 to +1. You can also type 0-20 here directly.</t>
  </si>
  <si>
    <t>Heat</t>
  </si>
  <si>
    <t>Value</t>
  </si>
  <si>
    <t>Substance</t>
  </si>
  <si>
    <t>Vitality</t>
  </si>
  <si>
    <t>Mind/Matter</t>
  </si>
  <si>
    <t>Refuse below</t>
  </si>
  <si>
    <t>Weaken below</t>
  </si>
  <si>
    <t>Pairs that refuse</t>
  </si>
  <si>
    <t>Pairs weakened</t>
  </si>
  <si>
    <t>Each cell is how well two affinities line up (the cosine of their five positions): +1 the same way, -1 opposite. Red: they refuse to bond. Amber: they bond, weakened. Green: they bond, strengthened. Universal runes have no position and bond with anything. Move the sliders on the Affinities sheet; change the two thresholds in yellow.</t>
  </si>
  <si>
    <t>Affinity positions (added 2026-10-22)</t>
  </si>
  <si>
    <t>Each affinity sits on five axes from -1 to +1: Heat (cold to hot), Substance (fluid or free to solid), Vitality (death to life), Light (conceals to reveals), Mind/Matter (mind to matter). Drag the sliders on the Affinities sheet.</t>
  </si>
  <si>
    <t>Alignment: a live grid of how well every pair of affinities lines up. Pairs below the refuse threshold cannot bond; pairs below the weaken threshold bond weaker. Hybrids sit between their parents, so they can bridge a refused pair.</t>
  </si>
  <si>
    <t>Slider Links: the numbers the sliders write. Leave it alone unless you would rather type positions than drag.</t>
  </si>
  <si>
    <t>The sliders are Excel controls. Edit this file in Excel; regenerating it with tools/design/build_runes_workbook.py would remove them and your edits.</t>
  </si>
  <si>
    <t>Bond rules</t>
  </si>
  <si>
    <t>Role</t>
  </si>
  <si>
    <t>Valence</t>
  </si>
  <si>
    <t>Electronegativity spread</t>
  </si>
  <si>
    <t>What the role means</t>
  </si>
  <si>
    <t>The chemistry it mirrors</t>
  </si>
  <si>
    <t>Cap</t>
  </si>
  <si>
    <t>Ends a structure: a finisher, or a pure state.</t>
  </si>
  <si>
    <t>Hydrogen, fluorine, sodium: one bond, and the most extreme pull or push.</t>
  </si>
  <si>
    <t>Link</t>
  </si>
  <si>
    <t>Takes something in and passes it on.</t>
  </si>
  <si>
    <t>Oxygen: two bonds.</t>
  </si>
  <si>
    <t>Branch</t>
  </si>
  <si>
    <t>Spreads, splits or multiplies.</t>
  </si>
  <si>
    <t>Nitrogen: three bonds.</t>
  </si>
  <si>
    <t>Frame</t>
  </si>
  <si>
    <t>Holds a structure together.</t>
  </si>
  <si>
    <t>Carbon: four bonds and a middling pull, the backbone that bonds with almost anything.</t>
  </si>
  <si>
    <t>Electronegativity centre</t>
  </si>
  <si>
    <t>A rune's electronegativity = centre + draw x its role's spread. Draw runs from -1 (the rune gives or releases outward) to +1 (it takes or holds inward). Valence comes from the role. So a Cap sits at the extremes (1.0 to 4.0) and a Frame near the centre (2.1 to 2.9), as in real chemistry: the elements with the fewest bonds pull hardest or give most easily, and carbon, with four, sits in the middle and bonds with everything.</t>
  </si>
  <si>
    <t>Bond kind</t>
  </si>
  <si>
    <t>Difference from</t>
  </si>
  <si>
    <t>What it means in a word</t>
  </si>
  <si>
    <t>Even</t>
  </si>
  <si>
    <t>The two runes blend equally.</t>
  </si>
  <si>
    <t>Polar</t>
  </si>
  <si>
    <t>The rune with more pull dominates; the other colours it.</t>
  </si>
  <si>
    <t>Ionic</t>
  </si>
  <si>
    <t>One rune hands its effect to the other outright: a transfer.</t>
  </si>
  <si>
    <t>Single bonds only, no handedness (Brent, 2026-10-22). Bond strength (Pauling: the bigger the difference, the stronger the bond) and how affinity alignment multiplies it are not given numbers yet.</t>
  </si>
  <si>
    <t>Draw (-1 gives ... +1 takes)</t>
  </si>
  <si>
    <t>Electronegativity</t>
  </si>
  <si>
    <t>Valence and electronegativity (added 2026-10-22)</t>
  </si>
  <si>
    <t>Base Runes columns K-N. You set each rune's Role (Cap, Link, Branch, Frame) and Draw (-1 gives or releases ... +1 takes or holds); Valence and Electronegativity follow by the rules on the Bond Rules sheet, where the numbers behind them can be changed.</t>
  </si>
  <si>
    <t>Flood</t>
  </si>
  <si>
    <t>Drain</t>
  </si>
  <si>
    <t>Gush</t>
  </si>
  <si>
    <t>Drip</t>
  </si>
  <si>
    <t>Sweep</t>
  </si>
  <si>
    <t>Settle</t>
  </si>
  <si>
    <t>Splash</t>
  </si>
  <si>
    <t>Seep</t>
  </si>
  <si>
    <t>Wave</t>
  </si>
  <si>
    <t>Slack</t>
  </si>
  <si>
    <t>Burn</t>
  </si>
  <si>
    <t>Snuff</t>
  </si>
  <si>
    <t>Explode</t>
  </si>
  <si>
    <t>Blaze</t>
  </si>
  <si>
    <t>Smoulder</t>
  </si>
  <si>
    <t>Smother</t>
  </si>
  <si>
    <t>Dig</t>
  </si>
  <si>
    <t>Bury</t>
  </si>
  <si>
    <t>Tunnel</t>
  </si>
  <si>
    <t>Collapse</t>
  </si>
  <si>
    <t>Blow</t>
  </si>
  <si>
    <t>Lash</t>
  </si>
  <si>
    <t>Drop</t>
  </si>
  <si>
    <t>Carry</t>
  </si>
  <si>
    <t>Strike</t>
  </si>
  <si>
    <t>Ground</t>
  </si>
  <si>
    <t>Stun</t>
  </si>
  <si>
    <t>Thunder</t>
  </si>
  <si>
    <t>Silence</t>
  </si>
  <si>
    <t>Glaze</t>
  </si>
  <si>
    <t>Snow</t>
  </si>
  <si>
    <t>Melt</t>
  </si>
  <si>
    <t>Darken</t>
  </si>
  <si>
    <t>Lighten</t>
  </si>
  <si>
    <t>Obscure</t>
  </si>
  <si>
    <t>Resound</t>
  </si>
  <si>
    <t>Sunder</t>
  </si>
  <si>
    <t>Breach</t>
  </si>
  <si>
    <t>Clot</t>
  </si>
  <si>
    <t>Pulse</t>
  </si>
  <si>
    <t>Still</t>
  </si>
  <si>
    <t>Heal</t>
  </si>
  <si>
    <t>Renew</t>
  </si>
  <si>
    <t>Strengthen</t>
  </si>
  <si>
    <t>Weaken</t>
  </si>
  <si>
    <t>Cure</t>
  </si>
  <si>
    <t>Sicken</t>
  </si>
  <si>
    <t>Kill</t>
  </si>
  <si>
    <t>Animate</t>
  </si>
  <si>
    <t>Vanish</t>
  </si>
  <si>
    <t>Manifest</t>
  </si>
  <si>
    <t>Grow</t>
  </si>
  <si>
    <t>Shrink</t>
  </si>
  <si>
    <t>Flourish</t>
  </si>
  <si>
    <t>Blight</t>
  </si>
  <si>
    <t>Harvest</t>
  </si>
  <si>
    <t>Sow</t>
  </si>
  <si>
    <t>Dim</t>
  </si>
  <si>
    <t>Flash</t>
  </si>
  <si>
    <t>Glare</t>
  </si>
  <si>
    <t>Reflect</t>
  </si>
  <si>
    <t>Bend</t>
  </si>
  <si>
    <t>Conjure</t>
  </si>
  <si>
    <t>Soothe</t>
  </si>
  <si>
    <t>Mimic</t>
  </si>
  <si>
    <t>Unmask</t>
  </si>
  <si>
    <t>Contaminate</t>
  </si>
  <si>
    <t>Cleanse</t>
  </si>
  <si>
    <t>Corrode</t>
  </si>
  <si>
    <t>Neutralise</t>
  </si>
  <si>
    <t>Infect</t>
  </si>
  <si>
    <t>Disinfect</t>
  </si>
  <si>
    <t>Contain</t>
  </si>
  <si>
    <t>Overrun</t>
  </si>
  <si>
    <t>Immunise</t>
  </si>
  <si>
    <t>fill an area with water; the ground turns Wet</t>
  </si>
  <si>
    <t>empty the water from an area or a target, and draw it in</t>
  </si>
  <si>
    <t>Churn: a whirlpool that spins bodies and holds them in place</t>
  </si>
  <si>
    <t>Rinse: washes every status off, good and bad</t>
  </si>
  <si>
    <t>consumes Soaked for extra damage</t>
  </si>
  <si>
    <t>buoyancy: lift, lighten, walk on water</t>
  </si>
  <si>
    <t>lifts: lightens, slows falls</t>
  </si>
  <si>
    <t>Depth: pinned under; the target cannot jump, blink or be lifted</t>
  </si>
  <si>
    <t>water in the lungs: no casting, no calls for help, damage over time</t>
  </si>
  <si>
    <t>silences</t>
  </si>
  <si>
    <t>a sudden forceful jet</t>
  </si>
  <si>
    <t>a slow steady trickle that wears and lingers</t>
  </si>
  <si>
    <t>a current that carries things along</t>
  </si>
  <si>
    <t>the water goes still, and what it carries sinks and stays</t>
  </si>
  <si>
    <t>burst outward on contact, spraying those near</t>
  </si>
  <si>
    <t>soak in slowly, getting behind shields and armour</t>
  </si>
  <si>
    <t>a rolling wall of water</t>
  </si>
  <si>
    <t>the still moment at the turn of the tide: everything pauses, reflux eases</t>
  </si>
  <si>
    <t>set a target burning (Alight)</t>
  </si>
  <si>
    <t>Kiln Fist</t>
  </si>
  <si>
    <t>put fire out, and cash the heat in</t>
  </si>
  <si>
    <t>start a fire at a point</t>
  </si>
  <si>
    <t>put out one flame or source at once</t>
  </si>
  <si>
    <t>Pyre Call</t>
  </si>
  <si>
    <t>a fierce, spreading fire</t>
  </si>
  <si>
    <t>a low, lasting burn</t>
  </si>
  <si>
    <t>Stoke, Slag Pool</t>
  </si>
  <si>
    <t>a sudden flash of flame</t>
  </si>
  <si>
    <t>starve a fire, or a foe, of air</t>
  </si>
  <si>
    <t>tear into the ground and bring stone up to throw</t>
  </si>
  <si>
    <t>Slingstone, Quarry Throw</t>
  </si>
  <si>
    <t>cover over with earth</t>
  </si>
  <si>
    <t>pass through the ground</t>
  </si>
  <si>
    <t>bring the ground down and close a passage</t>
  </si>
  <si>
    <t>moving air pushes</t>
  </si>
  <si>
    <t>air that strikes and cuts</t>
  </si>
  <si>
    <t>raise aloft</t>
  </si>
  <si>
    <t>be carried along, faster</t>
  </si>
  <si>
    <t>stalled; slipstream stolen</t>
  </si>
  <si>
    <t>a bolt that hits one target</t>
  </si>
  <si>
    <t>earth a charge away; draw strikes to a point</t>
  </si>
  <si>
    <t>release them as an overload</t>
  </si>
  <si>
    <t>Dead Short</t>
  </si>
  <si>
    <t>a deafening crack that staggers</t>
  </si>
  <si>
    <t>Thunderclap Palm</t>
  </si>
  <si>
    <t>dead quiet: casting and calls fail</t>
  </si>
  <si>
    <t>glazed ice: fast and slippery</t>
  </si>
  <si>
    <t>a fall of snow that blinds and buries</t>
  </si>
  <si>
    <t>turn ice and snow to water</t>
  </si>
  <si>
    <t>build ice: walls, armour, spikes</t>
  </si>
  <si>
    <t>hide a thing in darkness</t>
  </si>
  <si>
    <t>make a hidden target stand out</t>
  </si>
  <si>
    <t>smother sound</t>
  </si>
  <si>
    <t>sound carries and echoes in the dark</t>
  </si>
  <si>
    <t>join metal into one piece</t>
  </si>
  <si>
    <t>split it apart</t>
  </si>
  <si>
    <t>close and lock with metal</t>
  </si>
  <si>
    <t>break a seal; punch through plate</t>
  </si>
  <si>
    <t>blood hardens: armour, blades, a stopped wound</t>
  </si>
  <si>
    <t>blood runs quick: speed, reach</t>
  </si>
  <si>
    <t>cut off breath</t>
  </si>
  <si>
    <t>give breath; steady the body</t>
  </si>
  <si>
    <t>restore health and close wounds</t>
  </si>
  <si>
    <t>restore vigour and stamina</t>
  </si>
  <si>
    <t>drain stamina; fatigue</t>
  </si>
  <si>
    <t>waste the body away</t>
  </si>
  <si>
    <t>end a sickness or a poison</t>
  </si>
  <si>
    <t>make ill</t>
  </si>
  <si>
    <t>pass out of sight and reach</t>
  </si>
  <si>
    <t>appear; take form</t>
  </si>
  <si>
    <t>make a thing larger and stronger</t>
  </si>
  <si>
    <t>make it smaller</t>
  </si>
  <si>
    <t>grow plants from the ground</t>
  </si>
  <si>
    <t>kill plants; clear ground</t>
  </si>
  <si>
    <t>thrive: strengthen what grows</t>
  </si>
  <si>
    <t>a sickness of growing things</t>
  </si>
  <si>
    <t>take what has grown, and its yield</t>
  </si>
  <si>
    <t>dull the light</t>
  </si>
  <si>
    <t>a sudden burst of light</t>
  </si>
  <si>
    <t>a steady soft light</t>
  </si>
  <si>
    <t>send light and heat outward</t>
  </si>
  <si>
    <t>draw light and heat in</t>
  </si>
  <si>
    <t>a blinding glare</t>
  </si>
  <si>
    <t>turn light, and shots, back</t>
  </si>
  <si>
    <t>bend light: false images, or nothing</t>
  </si>
  <si>
    <t>rouse; break a trance</t>
  </si>
  <si>
    <t>calm, bliss</t>
  </si>
  <si>
    <t>take another's look or voice</t>
  </si>
  <si>
    <t>reveal a disguise</t>
  </si>
  <si>
    <t>foul an area or a thing</t>
  </si>
  <si>
    <t>make it clean again</t>
  </si>
  <si>
    <t>acid that eats armour and metal</t>
  </si>
  <si>
    <t>render a poison or acid harmless</t>
  </si>
  <si>
    <t>give a disease</t>
  </si>
  <si>
    <t>kill it</t>
  </si>
  <si>
    <t>it stays in one body</t>
  </si>
  <si>
    <t>open and drain a festering wound</t>
  </si>
  <si>
    <t>overwhelm the body's defences</t>
  </si>
  <si>
    <t>build resistance</t>
  </si>
  <si>
    <t>2026-10-22: the base runes were replaced by the revised set (design/runes-data/revised-rune-set.md), approved by Brent. IDs, characters and opposite pairs are unchanged; names, meanings, roles, draws and the skills on each rune changed. Water's means and together columns were kept only for the runes that survived.</t>
  </si>
  <si>
    <t>Rune names used by more than one affinity: none (checked 2026-10-22).</t>
  </si>
  <si>
    <t>Effect (game)</t>
  </si>
  <si>
    <t>reach x1.2; status soaked</t>
  </si>
  <si>
    <t>bonus soaked +0.25; cost x0.9</t>
  </si>
  <si>
    <t>shove +1.5</t>
  </si>
  <si>
    <t>pull +1.5</t>
  </si>
  <si>
    <t>status soaked</t>
  </si>
  <si>
    <t>bonus soaked +0.4</t>
  </si>
  <si>
    <t>status aloft</t>
  </si>
  <si>
    <t>interrupts; status dazed</t>
  </si>
  <si>
    <t>speed x1.3; power x1.1</t>
  </si>
  <si>
    <t>duration x1.4; cost x0.85</t>
  </si>
  <si>
    <t>reach x1.3</t>
  </si>
  <si>
    <t>status mired</t>
  </si>
  <si>
    <t>reach x1.25; power x0.9</t>
  </si>
  <si>
    <t>pierce +1</t>
  </si>
  <si>
    <t>reach x1.2; poise x1.3</t>
  </si>
  <si>
    <t>reflux x0.75</t>
  </si>
  <si>
    <t>status alight</t>
  </si>
  <si>
    <t>reflux x0.7; power x1.1</t>
  </si>
  <si>
    <t>status alight; windup x0.9</t>
  </si>
  <si>
    <t>interrupts</t>
  </si>
  <si>
    <t>reach x1.3; power x1.15; cost x1.15</t>
  </si>
  <si>
    <t>power x1.2; reflux x1.2</t>
  </si>
  <si>
    <t>duration x1.5; status alight</t>
  </si>
  <si>
    <t>status dazed</t>
  </si>
  <si>
    <t>interrupts; status slowed</t>
  </si>
  <si>
    <t>poise x1.3</t>
  </si>
  <si>
    <t>power x1.15; speed x0.9</t>
  </si>
  <si>
    <t>poise x1.5</t>
  </si>
  <si>
    <t>braced</t>
  </si>
  <si>
    <t>power x1.15; cost x0.9</t>
  </si>
  <si>
    <t>status pinned</t>
  </si>
  <si>
    <t>status stunned; cost x1.2</t>
  </si>
  <si>
    <t>shove +1</t>
  </si>
  <si>
    <t>reflux x0.8</t>
  </si>
  <si>
    <t>power x1.2; speed x1.1</t>
  </si>
  <si>
    <t>windup x0.85</t>
  </si>
  <si>
    <t>poise x1.4</t>
  </si>
  <si>
    <t>speed x1.3; reach x1.15</t>
  </si>
  <si>
    <t>status slowed</t>
  </si>
  <si>
    <t>pull +1; reach x1.1</t>
  </si>
  <si>
    <t>reach x1.3; power x0.9</t>
  </si>
  <si>
    <t>power x1.2; speed x1.2</t>
  </si>
  <si>
    <t>marks +1</t>
  </si>
  <si>
    <t>bonus live +0.4</t>
  </si>
  <si>
    <t>jumps +1</t>
  </si>
  <si>
    <t>cost x0.85</t>
  </si>
  <si>
    <t>windup x0.7; speed x1.2</t>
  </si>
  <si>
    <t>status stunned</t>
  </si>
  <si>
    <t>poise x1.3; status dazed</t>
  </si>
  <si>
    <t>speed x1.25</t>
  </si>
  <si>
    <t>duration x1.4; speed x0.8</t>
  </si>
  <si>
    <t>windup x0.75</t>
  </si>
  <si>
    <t>power x1.3; windup x1.4</t>
  </si>
  <si>
    <t>reach x1.1; power x1.05</t>
  </si>
  <si>
    <t>speed x1.2; reach x1.1</t>
  </si>
  <si>
    <t>reach x0.8; power x1.25</t>
  </si>
  <si>
    <t>power x1.2; reach x0.85</t>
  </si>
  <si>
    <t>reach x1.4; power x0.9</t>
  </si>
  <si>
    <t>power x1.3; reach x0.8</t>
  </si>
  <si>
    <t>reach x1.3; power x0.85</t>
  </si>
  <si>
    <t>power x1.25</t>
  </si>
  <si>
    <t>jumps +1; power x0.85</t>
  </si>
  <si>
    <t>reach x1.1; poise x1.1</t>
  </si>
  <si>
    <t>windup x0.9</t>
  </si>
  <si>
    <t>duration x1.5</t>
  </si>
  <si>
    <t>duration x0.6; power x1.25</t>
  </si>
  <si>
    <t>power x1.3; windup x1.3</t>
  </si>
  <si>
    <t>windup x0.7; power x0.9</t>
  </si>
  <si>
    <t>power x1.15; cost x1.15</t>
  </si>
  <si>
    <t>power x1.2; cost x1.1</t>
  </si>
  <si>
    <t>power x1.15; windup x1.1</t>
  </si>
  <si>
    <t>power x1.15; cost x1.1</t>
  </si>
  <si>
    <t>reflux x0.85</t>
  </si>
  <si>
    <t>duration x1.3</t>
  </si>
  <si>
    <t>reach x1.2</t>
  </si>
  <si>
    <t>power x1.1</t>
  </si>
  <si>
    <t>power x1.2; reflux x1.15</t>
  </si>
  <si>
    <t>power x1.05; reach x1.05</t>
  </si>
  <si>
    <t>cost x0.85; power x0.9</t>
  </si>
  <si>
    <t>power x1.25; reflux x1.3</t>
  </si>
  <si>
    <t>duration x1.1; reflux x0.9</t>
  </si>
  <si>
    <t>power x1.15</t>
  </si>
  <si>
    <t>poise x1.2</t>
  </si>
  <si>
    <t>range and area +20%; applies Soaked</t>
  </si>
  <si>
    <t>+25% damage to Soaked targets; essence cost -10%</t>
  </si>
  <si>
    <t>speed +30%; damage +10%</t>
  </si>
  <si>
    <t>duration +40%; essence cost -15%</t>
  </si>
  <si>
    <t>range and area +30%</t>
  </si>
  <si>
    <t>applies Mired</t>
  </si>
  <si>
    <t>range and area +25%; damage -10%</t>
  </si>
  <si>
    <t>passes through one more</t>
  </si>
  <si>
    <t>range and area +20%; poise damage +30%</t>
  </si>
  <si>
    <t>reflux left -25%</t>
  </si>
  <si>
    <t>applies Alight</t>
  </si>
  <si>
    <t>reflux left -30%; damage +10%</t>
  </si>
  <si>
    <t>applies Alight; wind-up and recovery -10%</t>
  </si>
  <si>
    <t>interrupts a wind-up</t>
  </si>
  <si>
    <t>range and area +30%; damage +15%; essence cost +15%</t>
  </si>
  <si>
    <t>pulls 1.5 m</t>
  </si>
  <si>
    <t>damage +20%; reflux left +20%</t>
  </si>
  <si>
    <t>duration +50%; applies Alight</t>
  </si>
  <si>
    <t>applies Dazed</t>
  </si>
  <si>
    <t>interrupts a wind-up; applies Slowed</t>
  </si>
  <si>
    <t>poise damage +30%</t>
  </si>
  <si>
    <t>damage +15%; speed -10%</t>
  </si>
  <si>
    <t>poise damage +50%</t>
  </si>
  <si>
    <t>you are Braced while casting</t>
  </si>
  <si>
    <t>damage +15%; essence cost -10%</t>
  </si>
  <si>
    <t>applies Pinned</t>
  </si>
  <si>
    <t>applies Stunned; essence cost +20%</t>
  </si>
  <si>
    <t>shoves 1 m</t>
  </si>
  <si>
    <t>reflux left -20%</t>
  </si>
  <si>
    <t>damage +20%; speed +10%</t>
  </si>
  <si>
    <t>wind-up and recovery -15%</t>
  </si>
  <si>
    <t>applies Aloft</t>
  </si>
  <si>
    <t>poise damage +40%</t>
  </si>
  <si>
    <t>speed +30%; range and area +15%</t>
  </si>
  <si>
    <t>applies Slowed</t>
  </si>
  <si>
    <t>pulls 1 m; range and area +10%</t>
  </si>
  <si>
    <t>range and area +30%; damage -10%</t>
  </si>
  <si>
    <t>damage +20%; speed +20%</t>
  </si>
  <si>
    <t>adds a Live mark</t>
  </si>
  <si>
    <t>+40% damage to Live targets</t>
  </si>
  <si>
    <t>jumps to one more target</t>
  </si>
  <si>
    <t>essence cost -15%</t>
  </si>
  <si>
    <t>wind-up and recovery -30%; speed +20%</t>
  </si>
  <si>
    <t>applies Stunned</t>
  </si>
  <si>
    <t>poise damage +30%; applies Dazed</t>
  </si>
  <si>
    <t>Rune effects: layers 1-3 (first pass, 2026-10-22)</t>
  </si>
  <si>
    <t>Layer 1: each rune's Effect (game) on Base Runes and Universal Runes. Layer 2: the bond a rune reaches the skill through scales it by bond kind. Layer 3: it fades with each bond between it and the skill's own rune. Effects only count once the word is locked.</t>
  </si>
  <si>
    <t>Bonds from the skill's rune</t>
  </si>
  <si>
    <t>Strength</t>
  </si>
  <si>
    <t>4 or more</t>
  </si>
  <si>
    <t>Rune with more pull</t>
  </si>
  <si>
    <t>Rune with less pull</t>
  </si>
  <si>
    <t>Meaning</t>
  </si>
  <si>
    <t>both blend, each at three-quarters</t>
  </si>
  <si>
    <t>the rune with more pull dominates; the other colours it</t>
  </si>
  <si>
    <t>the weaker rune hands its effect over: the stronger one is amplified, the weaker one's own effect is gone</t>
  </si>
  <si>
    <t>A status applies when strength is at least</t>
  </si>
  <si>
    <t>Lowest multiplier a stat group can reach</t>
  </si>
  <si>
    <t>Highest multiplier a stat group can reach</t>
  </si>
  <si>
    <t>A word must be closed to lock (1 yes, 0 no)</t>
  </si>
  <si>
    <t>The skill's own rune: its Effect names what the skill already does (Surge: the shove). Its bond factors scale that part of the skill, averaged over its bonds: bonded ionically to a stronger rune, Water Bolt loses its shove.</t>
  </si>
  <si>
    <t>Effect syntax (one op per ";"): &lt;group&gt; x&lt;m&gt; multiplies every field of a stat group the skill has: power (damage), reach (range, radius, arc, width), speed, cost, reflux, windup (wind-up and recovery), duration, poise. Also: status &lt;id&gt; [n], shove +&lt;m&gt;, pull +&lt;m&gt;, marks +&lt;n&gt;, jumps +&lt;n&gt;, pierce +&lt;n&gt;, interrupts, braced, bonus &lt;status&gt; +&lt;fraction&gt;. Strength scales each: a multiplier m becomes 1 + (m - 1) x strength; an amount is multiplied by strength. A skill without a group's fields takes a quarter of the change as power instead, so no rune does nothing.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</si>
</sst>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1" x14ac:knownFonts="1">
    <font>
      <sz val="11"/>
      <color theme="1"/>
      <name val="Calibri"/>
      <family val="2"/>
      <scheme val="minor"/>
    </font>
    <font>
      <b/>
      <sz val="10"/>
      <color rgb="FFFFFFFF"/>
      <name val="Arial"/>
    </font>
    <font>
      <b/>
      <sz val="16"/>
      <name val="Arial"/>
    </font>
    <font>
      <b/>
      <sz val="11"/>
      <name val="Arial"/>
    </font>
    <font>
      <i/>
      <sz val="10"/>
      <color rgb="FF555555"/>
      <name val="Arial"/>
    </font>
    <font>
      <sz val="10"/>
      <name val="Arial"/>
    </font>
    <font>
      <sz val="10"/>
      <color rgb="FF0000FF"/>
      <name val="Arial"/>
    </font>
    <font>
      <b/>
      <sz val="10"/>
      <color rgb="FF008000"/>
      <name val="Arial"/>
    </font>
    <font>
      <sz val="18"/>
      <color rgb="FF008000"/>
      <name val="Segoe UI Historic"/>
    </font>
    <font>
      <sz val="10"/>
      <color rgb="FF008000"/>
      <name val="Arial"/>
    </font>
    <font>
      <sz val="18"/>
      <color rgb="FF008000"/>
      <name val="Segoe UI Symbol"/>
    </font>
    <font>
      <sz val="18"/>
      <color rgb="FF0000FF"/>
      <name val="Segoe UI Historic"/>
    </font>
    <font>
      <sz val="10"/>
      <color rgb="FF000000"/>
      <name val="Arial"/>
    </font>
    <font>
      <sz val="18"/>
      <color rgb="FF000000"/>
      <name val="Segoe UI Historic"/>
    </font>
    <font>
      <sz val="18"/>
      <color rgb="FF0000FF"/>
      <name val="Segoe UI Symbol"/>
    </font>
    <font>
      <sz val="18"/>
      <color rgb="FF000000"/>
      <name val="Segoe UI Symbol"/>
    </font>
    <font>
      <b/>
      <sz val="10"/>
      <name val="Arial"/>
    </font>
    <font>
      <u/>
      <sz val="10"/>
      <color rgb="FF0563C1"/>
      <name val="Arial"/>
    </font>
    <font>
      <sz val="10"/>
      <color theme="1"/>
      <name val="Arial"/>
      <family val="2"/>
    </font>
    <font>
      <b/>
      <sz val="10"/>
      <color theme="1"/>
      <name val="Arial"/>
      <family val="2"/>
    </font>
    <font>
      <sz val="10"/>
      <color rgb="FF0000FF"/>
      <name val="Arial"/>
      <family val="2"/>
    </font>
    <font>
      <i/>
      <sz val="10"/>
      <color theme="1"/>
      <name val="Arial"/>
      <family val="2"/>
    </font>
    <font>
      <b/>
      <sz val="10"/>
      <color rgb="FFFFFFFF"/>
      <name val="Arial"/>
      <family val="2"/>
    </font>
    <font>
      <b/>
      <sz val="9"/>
      <color indexed="81"/>
      <name val="Tahoma"/>
      <family val="2"/>
    </font>
    <font>
      <sz val="10"/>
      <color rgb="FF008000"/>
      <name val="Arial"/>
      <family val="2"/>
    </font>
    <font>
      <b/>
      <sz val="11"/>
      <color theme="1"/>
      <name val="Arial"/>
      <family val="2"/>
    </font>
    <font>
      <b/>
      <sz val="10"/>
      <color rgb="FF000000"/>
      <name val="Arial"/>
      <family val="2"/>
    </font>
    <font>
      <b/>
      <sz val="16"/>
      <color theme="1"/>
      <name val="Arial"/>
      <family val="2"/>
    </font>
    <font>
      <sz val="10"/>
      <color rgb="FF000000"/>
      <name val="Arial"/>
      <family val="2"/>
    </font>
    <font>
      <b/>
      <sz val="11"/>
      <color rgb="FF000000"/>
      <name val="Arial"/>
      <family val="2"/>
    </font>
    <font>
      <b/>
      <sz val="12"/>
      <color theme="1"/>
      <name val="Arial"/>
      <family val="2"/>
    </font>
  </fonts>
  <fills count="5">
    <fill>
      <patternFill patternType="none"/>
    </fill>
    <fill>
      <patternFill patternType="gray125"/>
    </fill>
    <fill>
      <patternFill patternType="solid">
        <fgColor rgb="FF2F2A24"/>
      </patternFill>
    </fill>
    <fill>
      <patternFill patternType="solid">
        <fgColor rgb="FF2F2A24"/>
        <bgColor indexed="64"/>
      </patternFill>
    </fill>
    <fill>
      <patternFill patternType="solid">
        <fgColor rgb="FFFFFF00"/>
        <bgColor indexed="64"/>
      </patternFill>
    </fill>
  </fills>
  <borders count="2">
    <border>
      <left/>
      <right/>
      <top/>
      <bottom/>
      <diagonal/>
    </border>
    <border>
      <left/>
      <right/>
      <top/>
      <bottom style="thin">
        <color rgb="FFD0D0D0"/>
      </bottom>
      <diagonal/>
    </border>
  </borders>
  <cellStyleXfs count="1">
    <xf numFmtId="0" fontId="0" fillId="0" borderId="0"/>
  </cellStyleXfs>
  <cellXfs count="64">
    <xf numFmtId="0" fontId="0" fillId="0" borderId="0" xfId="0"/>
    <xf numFmtId="0" fontId="2"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3" fillId="0" borderId="0" xfId="0" applyFont="1" applyAlignment="1">
      <alignment vertical="top" wrapText="1"/>
    </xf>
    <xf numFmtId="0" fontId="6" fillId="0" borderId="0" xfId="0" applyFont="1" applyAlignment="1">
      <alignment vertical="top" wrapText="1"/>
    </xf>
    <xf numFmtId="0" fontId="9" fillId="0" borderId="0" xfId="0" applyFont="1" applyAlignment="1">
      <alignment vertical="top" wrapText="1"/>
    </xf>
    <xf numFmtId="0" fontId="12" fillId="0" borderId="0" xfId="0" applyFont="1" applyAlignment="1">
      <alignment vertical="top" wrapText="1"/>
    </xf>
    <xf numFmtId="0" fontId="1" fillId="2" borderId="0" xfId="0" applyFont="1" applyFill="1" applyAlignment="1">
      <alignment vertical="center" wrapText="1"/>
    </xf>
    <xf numFmtId="0" fontId="16" fillId="0" borderId="1" xfId="0" applyFont="1" applyBorder="1" applyAlignment="1">
      <alignment vertical="top" wrapText="1"/>
    </xf>
    <xf numFmtId="0" fontId="6" fillId="0" borderId="1" xfId="0" applyFont="1" applyBorder="1" applyAlignment="1">
      <alignment vertical="top" wrapText="1"/>
    </xf>
    <xf numFmtId="0" fontId="9" fillId="0" borderId="1" xfId="0" applyFont="1" applyBorder="1" applyAlignment="1">
      <alignment vertical="top" wrapText="1"/>
    </xf>
    <xf numFmtId="0" fontId="12" fillId="0" borderId="1" xfId="0" applyFont="1" applyBorder="1" applyAlignment="1">
      <alignment vertical="top" wrapText="1"/>
    </xf>
    <xf numFmtId="0" fontId="17" fillId="0" borderId="1" xfId="0" applyFont="1" applyBorder="1" applyAlignment="1">
      <alignment vertical="top" wrapText="1"/>
    </xf>
    <xf numFmtId="0" fontId="16" fillId="0" borderId="0" xfId="0" applyFont="1"/>
    <xf numFmtId="0" fontId="6" fillId="0" borderId="0" xfId="0" applyFont="1"/>
    <xf numFmtId="0" fontId="6" fillId="0" borderId="1" xfId="0" applyFont="1" applyBorder="1" applyAlignment="1">
      <alignment vertical="center"/>
    </xf>
    <xf numFmtId="0" fontId="11" fillId="0" borderId="1" xfId="0" applyFont="1" applyBorder="1" applyAlignment="1">
      <alignment horizontal="center" vertical="center"/>
    </xf>
    <xf numFmtId="0" fontId="12" fillId="0" borderId="1" xfId="0" applyFont="1" applyBorder="1" applyAlignment="1">
      <alignment vertical="center"/>
    </xf>
    <xf numFmtId="0" fontId="13" fillId="0" borderId="1" xfId="0" applyFont="1" applyBorder="1" applyAlignment="1">
      <alignment horizontal="center" vertical="center"/>
    </xf>
    <xf numFmtId="0" fontId="9" fillId="0" borderId="1" xfId="0" applyFont="1" applyBorder="1" applyAlignment="1">
      <alignment vertical="center" wrapText="1"/>
    </xf>
    <xf numFmtId="0" fontId="5" fillId="0" borderId="1" xfId="0" applyFont="1" applyBorder="1" applyAlignment="1">
      <alignmen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6" fillId="0" borderId="1" xfId="0" applyFont="1" applyBorder="1" applyAlignment="1">
      <alignment vertical="center" wrapText="1"/>
    </xf>
    <xf numFmtId="0" fontId="2" fillId="0" borderId="0" xfId="0" applyFont="1"/>
    <xf numFmtId="0" fontId="5"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horizontal="center" vertical="center"/>
    </xf>
    <xf numFmtId="0" fontId="4" fillId="0" borderId="0" xfId="0" applyFont="1"/>
    <xf numFmtId="0" fontId="10" fillId="0" borderId="1" xfId="0" applyFont="1" applyBorder="1" applyAlignment="1">
      <alignment horizontal="center" vertical="center"/>
    </xf>
    <xf numFmtId="0" fontId="18" fillId="0" borderId="0" xfId="0" applyFont="1"/>
    <xf numFmtId="0" fontId="19" fillId="0" borderId="0" xfId="0" applyFont="1"/>
    <xf numFmtId="0" fontId="20" fillId="0" borderId="0" xfId="0" applyFont="1"/>
    <xf numFmtId="0" fontId="21" fillId="0" borderId="0" xfId="0" applyFont="1"/>
    <xf numFmtId="0" fontId="22" fillId="3" borderId="0" xfId="0" applyFont="1" applyFill="1" applyAlignment="1">
      <alignment wrapText="1"/>
    </xf>
    <xf numFmtId="164" fontId="24" fillId="0" borderId="0" xfId="0" applyNumberFormat="1" applyFont="1" applyAlignment="1">
      <alignment horizontal="center" vertical="center"/>
    </xf>
    <xf numFmtId="2" fontId="18" fillId="0" borderId="0" xfId="0" applyNumberFormat="1" applyFont="1" applyAlignment="1">
      <alignment horizontal="center"/>
    </xf>
    <xf numFmtId="0" fontId="19" fillId="0" borderId="0" xfId="0" applyFont="1" applyAlignment="1">
      <alignment textRotation="90"/>
    </xf>
    <xf numFmtId="2" fontId="20" fillId="4" borderId="0" xfId="0" applyNumberFormat="1" applyFont="1" applyFill="1"/>
    <xf numFmtId="0" fontId="18" fillId="0" borderId="0" xfId="0" applyFont="1" applyAlignment="1">
      <alignment wrapText="1"/>
    </xf>
    <xf numFmtId="0" fontId="25" fillId="0" borderId="0" xfId="0" applyFont="1" applyAlignment="1">
      <alignment wrapText="1"/>
    </xf>
    <xf numFmtId="0" fontId="26" fillId="0" borderId="0" xfId="0" applyFont="1" applyAlignment="1">
      <alignment textRotation="90"/>
    </xf>
    <xf numFmtId="0" fontId="27" fillId="0" borderId="0" xfId="0" applyFont="1"/>
    <xf numFmtId="0" fontId="22" fillId="3" borderId="0" xfId="0" applyFont="1" applyFill="1"/>
    <xf numFmtId="0" fontId="28" fillId="0" borderId="0" xfId="0" applyFont="1" applyAlignment="1">
      <alignment wrapText="1"/>
    </xf>
    <xf numFmtId="0" fontId="26" fillId="0" borderId="0" xfId="0" applyFont="1" applyAlignment="1">
      <alignment wrapText="1"/>
    </xf>
    <xf numFmtId="0" fontId="20" fillId="0" borderId="0" xfId="0" applyFont="1" applyAlignment="1">
      <alignment wrapText="1"/>
    </xf>
    <xf numFmtId="0" fontId="28" fillId="0" borderId="0" xfId="0" applyFont="1"/>
    <xf numFmtId="0" fontId="26" fillId="0" borderId="0" xfId="0" applyFont="1"/>
    <xf numFmtId="0" fontId="20" fillId="0" borderId="0" xfId="0" applyFont="1" applyAlignment="1">
      <alignment horizontal="center" vertical="center"/>
    </xf>
    <xf numFmtId="164" fontId="20" fillId="0" borderId="0" xfId="0" applyNumberFormat="1" applyFont="1" applyAlignment="1">
      <alignment horizontal="center" vertical="center"/>
    </xf>
    <xf numFmtId="0" fontId="28" fillId="0" borderId="0" xfId="0" applyFont="1" applyAlignment="1">
      <alignment horizontal="center" vertical="center"/>
    </xf>
    <xf numFmtId="2" fontId="28" fillId="0" borderId="0" xfId="0" applyNumberFormat="1" applyFont="1" applyAlignment="1">
      <alignment horizontal="center" vertical="center"/>
    </xf>
    <xf numFmtId="0" fontId="29" fillId="0" borderId="0" xfId="0" applyFont="1" applyAlignment="1">
      <alignment wrapText="1"/>
    </xf>
    <xf numFmtId="0" fontId="6" fillId="4" borderId="1" xfId="0" applyFont="1" applyFill="1" applyBorder="1" applyAlignment="1">
      <alignment vertical="top" wrapText="1"/>
    </xf>
    <xf numFmtId="0" fontId="18" fillId="0" borderId="0" xfId="0" applyFont="1" applyAlignment="1">
      <alignment wrapText="1"/>
    </xf>
    <xf numFmtId="0" fontId="21" fillId="0" borderId="0" xfId="0" applyFont="1" applyAlignment="1">
      <alignment wrapText="1"/>
    </xf>
    <xf numFmtId="0" fontId="4" fillId="0" borderId="0" xfId="0" applyFont="1" applyAlignment="1">
      <alignment vertical="top" wrapText="1"/>
    </xf>
    <xf numFmtId="0" fontId="0" fillId="0" borderId="0" xfId="0"/>
    <xf numFmtId="0" fontId="3" fillId="0" borderId="0" xfId="0" applyFont="1" applyAlignment="1">
      <alignment vertical="top" wrapText="1"/>
    </xf>
    <xf numFmtId="0" fontId="20" fillId="0" borderId="0" xfId="0" applyFont="1" applyAlignment="1">
      <alignment vertical="center" wrapText="1"/>
    </xf>
    <xf numFmtId="0" fontId="20" fillId="0" borderId="1" xfId="0" applyFont="1" applyFill="1" applyBorder="1" applyAlignment="1">
      <alignment vertical="center" wrapText="1"/>
    </xf>
    <xf numFmtId="0" fontId="30" fillId="0" borderId="0" xfId="0" applyFont="1"/>
  </cellXfs>
  <cellStyles count="1">
    <cellStyle name="Normal" xfId="0" builtinId="0"/>
  </cellStyles>
  <dxfs count="3">
    <dxf>
      <font>
        <color rgb="FF006100"/>
      </font>
      <fill>
        <patternFill>
          <bgColor rgb="FFC6EFCE"/>
        </patternFill>
      </fill>
    </dxf>
    <dxf>
      <font>
        <color rgb="FF6F5700"/>
      </font>
      <fill>
        <patternFill>
          <bgColor rgb="FFFFEB9C"/>
        </patternFill>
      </fill>
    </dxf>
    <dxf>
      <font>
        <color rgb="FF6F0000"/>
      </font>
      <fill>
        <patternFill>
          <bgColor rgb="FFFF9C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trlProps/ctrlProp1.xml><?xml version="1.0" encoding="utf-8"?>
<formControlPr xmlns="http://schemas.microsoft.com/office/spreadsheetml/2009/9/main" objectType="Scroll" dx="22" fmlaLink="'Slider Links'!$B$6" horiz="1" max="20" page="5" val="16"/>
</file>

<file path=xl/ctrlProps/ctrlProp2.xml><?xml version="1.0" encoding="utf-8"?>
<formControlPr xmlns="http://schemas.microsoft.com/office/spreadsheetml/2009/9/main" objectType="Scroll" dx="22" fmlaLink="'Slider Links'!$B$13" horiz="1" max="20" page="5" val="10"/>
</file>

<file path=xl/ctrlProps/ctrlProp3.xml><?xml version="1.0" encoding="utf-8"?>
<formControlPr xmlns="http://schemas.microsoft.com/office/spreadsheetml/2009/9/main" objectType="Scroll" dx="22" fmlaLink="'Slider Links'!$B$10" horiz="1" max="20" page="5" val="13"/>
</file>

<file path=xl/ctrlProps/ctrlProp4.xml><?xml version="1.0" encoding="utf-8"?>
<formControlPr xmlns="http://schemas.microsoft.com/office/spreadsheetml/2009/9/main" objectType="Scroll" dx="22" fmlaLink="'Slider Links'!$B$8" horiz="1" max="20" page="5" val="7"/>
</file>

<file path=xl/ctrlProps/ctrlProp5.xml><?xml version="1.0" encoding="utf-8"?>
<formControlPr xmlns="http://schemas.microsoft.com/office/spreadsheetml/2009/9/main" objectType="Scroll" dx="22" fmlaLink="'Slider Links'!$B$2" horiz="1" max="20" page="5" val="7"/>
</file>

<file path=xl/ctrlProps/ctrlProp6.xml><?xml version="1.0" encoding="utf-8"?>
<formControlPr xmlns="http://schemas.microsoft.com/office/spreadsheetml/2009/9/main" objectType="Scroll" dx="22" fmlaLink="'Slider Links'!$B$17" horiz="1" max="20" page="5" val="12"/>
</file>

<file path=xl/ctrlProps/ctrlProp7.xml><?xml version="1.0" encoding="utf-8"?>
<formControlPr xmlns="http://schemas.microsoft.com/office/spreadsheetml/2009/9/main" objectType="Scroll" dx="22" fmlaLink="'Slider Links'!$B$11" horiz="1" max="20" page="5" val="13"/>
</file>

<file path=xl/ctrlProps/ctrlProp8.xml><?xml version="1.0" encoding="utf-8"?>
<formControlPr xmlns="http://schemas.microsoft.com/office/spreadsheetml/2009/9/main" objectType="Scroll" dx="22" fmlaLink="'Slider Links'!$B$9" horiz="1" max="20" page="5" val="10"/>
</file>

<file path=xl/ctrlProps/ctrlProp9.xml><?xml version="1.0" encoding="utf-8"?>
<formControlPr xmlns="http://schemas.microsoft.com/office/spreadsheetml/2009/9/main" objectType="Scroll" dx="22" fmlaLink="'Slider Links'!$B$3" horiz="1" max="20" page="5" val="20"/>
</file>

<file path=xl/ctrlProps/ctrlProp10.xml><?xml version="1.0" encoding="utf-8"?>
<formControlPr xmlns="http://schemas.microsoft.com/office/spreadsheetml/2009/9/main" objectType="Scroll" dx="22" fmlaLink="'Slider Links'!$B$12" horiz="1" max="20" page="5" val="5"/>
</file>

<file path=xl/ctrlProps/ctrlProp11.xml><?xml version="1.0" encoding="utf-8"?>
<formControlPr xmlns="http://schemas.microsoft.com/office/spreadsheetml/2009/9/main" objectType="Scroll" dx="22" fmlaLink="'Slider Links'!$B$7" horiz="1" max="20" page="5" val="0"/>
</file>

<file path=xl/ctrlProps/ctrlProp12.xml><?xml version="1.0" encoding="utf-8"?>
<formControlPr xmlns="http://schemas.microsoft.com/office/spreadsheetml/2009/9/main" objectType="Scroll" dx="22" fmlaLink="'Slider Links'!$B$5" horiz="1" max="20" page="5" val="10"/>
</file>

<file path=xl/ctrlProps/ctrlProp13.xml><?xml version="1.0" encoding="utf-8"?>
<formControlPr xmlns="http://schemas.microsoft.com/office/spreadsheetml/2009/9/main" objectType="Scroll" dx="22" fmlaLink="'Slider Links'!$B$14" horiz="1" max="20" page="5" val="14"/>
</file>

<file path=xl/ctrlProps/ctrlProp14.xml><?xml version="1.0" encoding="utf-8"?>
<formControlPr xmlns="http://schemas.microsoft.com/office/spreadsheetml/2009/9/main" objectType="Scroll" dx="22" fmlaLink="'Slider Links'!$B$16" horiz="1" max="20" page="5" val="10"/>
</file>

<file path=xl/ctrlProps/ctrlProp15.xml><?xml version="1.0" encoding="utf-8"?>
<formControlPr xmlns="http://schemas.microsoft.com/office/spreadsheetml/2009/9/main" objectType="Scroll" dx="22" fmlaLink="'Slider Links'!$B$15" horiz="1" max="20" page="5" val="10"/>
</file>

<file path=xl/ctrlProps/ctrlProp16.xml><?xml version="1.0" encoding="utf-8"?>
<formControlPr xmlns="http://schemas.microsoft.com/office/spreadsheetml/2009/9/main" objectType="Scroll" dx="22" fmlaLink="'Slider Links'!$B$4" horiz="1" max="20" page="5" val="10"/>
</file>

<file path=xl/ctrlProps/ctrlProp17.xml><?xml version="1.0" encoding="utf-8"?>
<formControlPr xmlns="http://schemas.microsoft.com/office/spreadsheetml/2009/9/main" objectType="Scroll" dx="22" fmlaLink="'Slider Links'!$C$6" horiz="1" max="20" page="5" val="5"/>
</file>

<file path=xl/ctrlProps/ctrlProp18.xml><?xml version="1.0" encoding="utf-8"?>
<formControlPr xmlns="http://schemas.microsoft.com/office/spreadsheetml/2009/9/main" objectType="Scroll" dx="22" fmlaLink="'Slider Links'!$C$13" horiz="1" max="20" page="5" val="12"/>
</file>

<file path=xl/ctrlProps/ctrlProp19.xml><?xml version="1.0" encoding="utf-8"?>
<formControlPr xmlns="http://schemas.microsoft.com/office/spreadsheetml/2009/9/main" objectType="Scroll" dx="22" fmlaLink="'Slider Links'!$C$10" horiz="1" max="20" page="5" val="5"/>
</file>

<file path=xl/ctrlProps/ctrlProp20.xml><?xml version="1.0" encoding="utf-8"?>
<formControlPr xmlns="http://schemas.microsoft.com/office/spreadsheetml/2009/9/main" objectType="Scroll" dx="22" fmlaLink="'Slider Links'!$C$8" horiz="1" max="20" page="5" val="7"/>
</file>

<file path=xl/ctrlProps/ctrlProp21.xml><?xml version="1.0" encoding="utf-8"?>
<formControlPr xmlns="http://schemas.microsoft.com/office/spreadsheetml/2009/9/main" objectType="Scroll" dx="22" fmlaLink="'Slider Links'!$C$2" horiz="1" max="20" page="5" val="4"/>
</file>

<file path=xl/ctrlProps/ctrlProp22.xml><?xml version="1.0" encoding="utf-8"?>
<formControlPr xmlns="http://schemas.microsoft.com/office/spreadsheetml/2009/9/main" objectType="Scroll" dx="22" fmlaLink="'Slider Links'!$C$17" horiz="1" max="20" page="5" val="5"/>
</file>

<file path=xl/ctrlProps/ctrlProp23.xml><?xml version="1.0" encoding="utf-8"?>
<formControlPr xmlns="http://schemas.microsoft.com/office/spreadsheetml/2009/9/main" objectType="Scroll" dx="22" fmlaLink="'Slider Links'!$C$11" horiz="1" max="20" page="5" val="10"/>
</file>

<file path=xl/ctrlProps/ctrlProp24.xml><?xml version="1.0" encoding="utf-8"?>
<formControlPr xmlns="http://schemas.microsoft.com/office/spreadsheetml/2009/9/main" objectType="Scroll" dx="22" fmlaLink="'Slider Links'!$C$9" horiz="1" max="20" page="5" val="18"/>
</file>

<file path=xl/ctrlProps/ctrlProp25.xml><?xml version="1.0" encoding="utf-8"?>
<formControlPr xmlns="http://schemas.microsoft.com/office/spreadsheetml/2009/9/main" objectType="Scroll" dx="22" fmlaLink="'Slider Links'!$C$3" horiz="1" max="20" page="5" val="7"/>
</file>

<file path=xl/ctrlProps/ctrlProp26.xml><?xml version="1.0" encoding="utf-8"?>
<formControlPr xmlns="http://schemas.microsoft.com/office/spreadsheetml/2009/9/main" objectType="Scroll" dx="22" fmlaLink="'Slider Links'!$C$12" horiz="1" max="20" page="5" val="12"/>
</file>

<file path=xl/ctrlProps/ctrlProp27.xml><?xml version="1.0" encoding="utf-8"?>
<formControlPr xmlns="http://schemas.microsoft.com/office/spreadsheetml/2009/9/main" objectType="Scroll" dx="22" fmlaLink="'Slider Links'!$C$7" horiz="1" max="20" page="5" val="15"/>
</file>

<file path=xl/ctrlProps/ctrlProp28.xml><?xml version="1.0" encoding="utf-8"?>
<formControlPr xmlns="http://schemas.microsoft.com/office/spreadsheetml/2009/9/main" objectType="Scroll" dx="22" fmlaLink="'Slider Links'!$C$5" horiz="1" max="20" page="5" val="2"/>
</file>

<file path=xl/ctrlProps/ctrlProp29.xml><?xml version="1.0" encoding="utf-8"?>
<formControlPr xmlns="http://schemas.microsoft.com/office/spreadsheetml/2009/9/main" objectType="Scroll" dx="22" fmlaLink="'Slider Links'!$C$14" horiz="1" max="20" page="5" val="6"/>
</file>

<file path=xl/ctrlProps/ctrlProp30.xml><?xml version="1.0" encoding="utf-8"?>
<formControlPr xmlns="http://schemas.microsoft.com/office/spreadsheetml/2009/9/main" objectType="Scroll" dx="22" fmlaLink="'Slider Links'!$C$16" horiz="1" max="20" page="5" val="7"/>
</file>

<file path=xl/ctrlProps/ctrlProp31.xml><?xml version="1.0" encoding="utf-8"?>
<formControlPr xmlns="http://schemas.microsoft.com/office/spreadsheetml/2009/9/main" objectType="Scroll" dx="22" fmlaLink="'Slider Links'!$C$15" horiz="1" max="20" page="5" val="4"/>
</file>

<file path=xl/ctrlProps/ctrlProp32.xml><?xml version="1.0" encoding="utf-8"?>
<formControlPr xmlns="http://schemas.microsoft.com/office/spreadsheetml/2009/9/main" objectType="Scroll" dx="22" fmlaLink="'Slider Links'!$C$4" horiz="1" max="20" page="5" val="20"/>
</file>

<file path=xl/ctrlProps/ctrlProp33.xml><?xml version="1.0" encoding="utf-8"?>
<formControlPr xmlns="http://schemas.microsoft.com/office/spreadsheetml/2009/9/main" objectType="Scroll" dx="22" fmlaLink="'Slider Links'!$D$6" horiz="1" max="20" page="5" val="10"/>
</file>

<file path=xl/ctrlProps/ctrlProp34.xml><?xml version="1.0" encoding="utf-8"?>
<formControlPr xmlns="http://schemas.microsoft.com/office/spreadsheetml/2009/9/main" objectType="Scroll" dx="22" fmlaLink="'Slider Links'!$D$13" horiz="1" max="20" page="5" val="20"/>
</file>

<file path=xl/ctrlProps/ctrlProp35.xml><?xml version="1.0" encoding="utf-8"?>
<formControlPr xmlns="http://schemas.microsoft.com/office/spreadsheetml/2009/9/main" objectType="Scroll" dx="22" fmlaLink="'Slider Links'!$D$10" horiz="1" max="20" page="5" val="16"/>
</file>

<file path=xl/ctrlProps/ctrlProp36.xml><?xml version="1.0" encoding="utf-8"?>
<formControlPr xmlns="http://schemas.microsoft.com/office/spreadsheetml/2009/9/main" objectType="Scroll" dx="22" fmlaLink="'Slider Links'!$D$8" horiz="1" max="20" page="5" val="8"/>
</file>

<file path=xl/ctrlProps/ctrlProp37.xml><?xml version="1.0" encoding="utf-8"?>
<formControlPr xmlns="http://schemas.microsoft.com/office/spreadsheetml/2009/9/main" objectType="Scroll" dx="22" fmlaLink="'Slider Links'!$D$2" horiz="1" max="20" page="5" val="15"/>
</file>

<file path=xl/ctrlProps/ctrlProp38.xml><?xml version="1.0" encoding="utf-8"?>
<formControlPr xmlns="http://schemas.microsoft.com/office/spreadsheetml/2009/9/main" objectType="Scroll" dx="22" fmlaLink="'Slider Links'!$D$17" horiz="1" max="20" page="5" val="0"/>
</file>

<file path=xl/ctrlProps/ctrlProp39.xml><?xml version="1.0" encoding="utf-8"?>
<formControlPr xmlns="http://schemas.microsoft.com/office/spreadsheetml/2009/9/main" objectType="Scroll" dx="22" fmlaLink="'Slider Links'!$D$11" horiz="1" max="20" page="5" val="20"/>
</file>

<file path=xl/ctrlProps/ctrlProp40.xml><?xml version="1.0" encoding="utf-8"?>
<formControlPr xmlns="http://schemas.microsoft.com/office/spreadsheetml/2009/9/main" objectType="Scroll" dx="22" fmlaLink="'Slider Links'!$D$9" horiz="1" max="20" page="5" val="7"/>
</file>

<file path=xl/ctrlProps/ctrlProp41.xml><?xml version="1.0" encoding="utf-8"?>
<formControlPr xmlns="http://schemas.microsoft.com/office/spreadsheetml/2009/9/main" objectType="Scroll" dx="22" fmlaLink="'Slider Links'!$D$3" horiz="1" max="20" page="5" val="10"/>
</file>

<file path=xl/ctrlProps/ctrlProp42.xml><?xml version="1.0" encoding="utf-8"?>
<formControlPr xmlns="http://schemas.microsoft.com/office/spreadsheetml/2009/9/main" objectType="Scroll" dx="22" fmlaLink="'Slider Links'!$D$12" horiz="1" max="20" page="5" val="0"/>
</file>

<file path=xl/ctrlProps/ctrlProp43.xml><?xml version="1.0" encoding="utf-8"?>
<formControlPr xmlns="http://schemas.microsoft.com/office/spreadsheetml/2009/9/main" objectType="Scroll" dx="22" fmlaLink="'Slider Links'!$D$7" horiz="1" max="20" page="5" val="7"/>
</file>

<file path=xl/ctrlProps/ctrlProp44.xml><?xml version="1.0" encoding="utf-8"?>
<formControlPr xmlns="http://schemas.microsoft.com/office/spreadsheetml/2009/9/main" objectType="Scroll" dx="22" fmlaLink="'Slider Links'!$D$5" horiz="1" max="20" page="5" val="12"/>
</file>

<file path=xl/ctrlProps/ctrlProp45.xml><?xml version="1.0" encoding="utf-8"?>
<formControlPr xmlns="http://schemas.microsoft.com/office/spreadsheetml/2009/9/main" objectType="Scroll" dx="22" fmlaLink="'Slider Links'!$D$14" horiz="1" max="20" page="5" val="13"/>
</file>

<file path=xl/ctrlProps/ctrlProp46.xml><?xml version="1.0" encoding="utf-8"?>
<formControlPr xmlns="http://schemas.microsoft.com/office/spreadsheetml/2009/9/main" objectType="Scroll" dx="22" fmlaLink="'Slider Links'!$D$16" horiz="1" max="20" page="5" val="2"/>
</file>

<file path=xl/ctrlProps/ctrlProp47.xml><?xml version="1.0" encoding="utf-8"?>
<formControlPr xmlns="http://schemas.microsoft.com/office/spreadsheetml/2009/9/main" objectType="Scroll" dx="22" fmlaLink="'Slider Links'!$D$15" horiz="1" max="20" page="5" val="10"/>
</file>

<file path=xl/ctrlProps/ctrlProp48.xml><?xml version="1.0" encoding="utf-8"?>
<formControlPr xmlns="http://schemas.microsoft.com/office/spreadsheetml/2009/9/main" objectType="Scroll" dx="22" fmlaLink="'Slider Links'!$D$4" horiz="1" max="20" page="5" val="12"/>
</file>

<file path=xl/ctrlProps/ctrlProp49.xml><?xml version="1.0" encoding="utf-8"?>
<formControlPr xmlns="http://schemas.microsoft.com/office/spreadsheetml/2009/9/main" objectType="Scroll" dx="22" fmlaLink="'Slider Links'!$E$6" horiz="1" max="20" page="5" val="17"/>
</file>

<file path=xl/ctrlProps/ctrlProp50.xml><?xml version="1.0" encoding="utf-8"?>
<formControlPr xmlns="http://schemas.microsoft.com/office/spreadsheetml/2009/9/main" objectType="Scroll" dx="22" fmlaLink="'Slider Links'!$E$13" horiz="1" max="20" page="5" val="11"/>
</file>

<file path=xl/ctrlProps/ctrlProp51.xml><?xml version="1.0" encoding="utf-8"?>
<formControlPr xmlns="http://schemas.microsoft.com/office/spreadsheetml/2009/9/main" objectType="Scroll" dx="22" fmlaLink="'Slider Links'!$E$10" horiz="1" max="20" page="5" val="8"/>
</file>

<file path=xl/ctrlProps/ctrlProp52.xml><?xml version="1.0" encoding="utf-8"?>
<formControlPr xmlns="http://schemas.microsoft.com/office/spreadsheetml/2009/9/main" objectType="Scroll" dx="22" fmlaLink="'Slider Links'!$E$8" horiz="1" max="20" page="5" val="0"/>
</file>

<file path=xl/ctrlProps/ctrlProp53.xml><?xml version="1.0" encoding="utf-8"?>
<formControlPr xmlns="http://schemas.microsoft.com/office/spreadsheetml/2009/9/main" objectType="Scroll" dx="22" fmlaLink="'Slider Links'!$E$2" horiz="1" max="20" page="5" val="10"/>
</file>

<file path=xl/ctrlProps/ctrlProp54.xml><?xml version="1.0" encoding="utf-8"?>
<formControlPr xmlns="http://schemas.microsoft.com/office/spreadsheetml/2009/9/main" objectType="Scroll" dx="22" fmlaLink="'Slider Links'!$E$17" horiz="1" max="20" page="5" val="7"/>
</file>

<file path=xl/ctrlProps/ctrlProp55.xml><?xml version="1.0" encoding="utf-8"?>
<formControlPr xmlns="http://schemas.microsoft.com/office/spreadsheetml/2009/9/main" objectType="Scroll" dx="22" fmlaLink="'Slider Links'!$E$11" horiz="1" max="20" page="5" val="12"/>
</file>

<file path=xl/ctrlProps/ctrlProp56.xml><?xml version="1.0" encoding="utf-8"?>
<formControlPr xmlns="http://schemas.microsoft.com/office/spreadsheetml/2009/9/main" objectType="Scroll" dx="22" fmlaLink="'Slider Links'!$E$9" horiz="1" max="20" page="5" val="12"/>
</file>

<file path=xl/ctrlProps/ctrlProp57.xml><?xml version="1.0" encoding="utf-8"?>
<formControlPr xmlns="http://schemas.microsoft.com/office/spreadsheetml/2009/9/main" objectType="Scroll" dx="22" fmlaLink="'Slider Links'!$E$3" horiz="1" max="20" page="5" val="16"/>
</file>

<file path=xl/ctrlProps/ctrlProp58.xml><?xml version="1.0" encoding="utf-8"?>
<formControlPr xmlns="http://schemas.microsoft.com/office/spreadsheetml/2009/9/main" objectType="Scroll" dx="22" fmlaLink="'Slider Links'!$E$12" horiz="1" max="20" page="5" val="6"/>
</file>

<file path=xl/ctrlProps/ctrlProp59.xml><?xml version="1.0" encoding="utf-8"?>
<formControlPr xmlns="http://schemas.microsoft.com/office/spreadsheetml/2009/9/main" objectType="Scroll" dx="22" fmlaLink="'Slider Links'!$E$7" horiz="1" max="20" page="5" val="11"/>
</file>

<file path=xl/ctrlProps/ctrlProp60.xml><?xml version="1.0" encoding="utf-8"?>
<formControlPr xmlns="http://schemas.microsoft.com/office/spreadsheetml/2009/9/main" objectType="Scroll" dx="22" fmlaLink="'Slider Links'!$E$5" horiz="1" max="20" page="5" val="10"/>
</file>

<file path=xl/ctrlProps/ctrlProp61.xml><?xml version="1.0" encoding="utf-8"?>
<formControlPr xmlns="http://schemas.microsoft.com/office/spreadsheetml/2009/9/main" objectType="Scroll" dx="22" fmlaLink="'Slider Links'!$E$14" horiz="1" max="20" page="5" val="20"/>
</file>

<file path=xl/ctrlProps/ctrlProp62.xml><?xml version="1.0" encoding="utf-8"?>
<formControlPr xmlns="http://schemas.microsoft.com/office/spreadsheetml/2009/9/main" objectType="Scroll" dx="22" fmlaLink="'Slider Links'!$E$16" horiz="1" max="20" page="5" val="4"/>
</file>

<file path=xl/ctrlProps/ctrlProp63.xml><?xml version="1.0" encoding="utf-8"?>
<formControlPr xmlns="http://schemas.microsoft.com/office/spreadsheetml/2009/9/main" objectType="Scroll" dx="22" fmlaLink="'Slider Links'!$E$15" horiz="1" max="20" page="5" val="4"/>
</file>

<file path=xl/ctrlProps/ctrlProp64.xml><?xml version="1.0" encoding="utf-8"?>
<formControlPr xmlns="http://schemas.microsoft.com/office/spreadsheetml/2009/9/main" objectType="Scroll" dx="22" fmlaLink="'Slider Links'!$E$4" horiz="1" max="20" page="5" val="8"/>
</file>

<file path=xl/ctrlProps/ctrlProp65.xml><?xml version="1.0" encoding="utf-8"?>
<formControlPr xmlns="http://schemas.microsoft.com/office/spreadsheetml/2009/9/main" objectType="Scroll" dx="22" fmlaLink="'Slider Links'!$F$6" horiz="1" max="20" page="5" val="9"/>
</file>

<file path=xl/ctrlProps/ctrlProp66.xml><?xml version="1.0" encoding="utf-8"?>
<formControlPr xmlns="http://schemas.microsoft.com/office/spreadsheetml/2009/9/main" objectType="Scroll" dx="22" fmlaLink="'Slider Links'!$F$13" horiz="1" max="20" page="5" val="15"/>
</file>

<file path=xl/ctrlProps/ctrlProp67.xml><?xml version="1.0" encoding="utf-8"?>
<formControlPr xmlns="http://schemas.microsoft.com/office/spreadsheetml/2009/9/main" objectType="Scroll" dx="22" fmlaLink="'Slider Links'!$F$10" horiz="1" max="20" page="5" val="18"/>
</file>

<file path=xl/ctrlProps/ctrlProp68.xml><?xml version="1.0" encoding="utf-8"?>
<formControlPr xmlns="http://schemas.microsoft.com/office/spreadsheetml/2009/9/main" objectType="Scroll" dx="22" fmlaLink="'Slider Links'!$F$8" horiz="1" max="20" page="5" val="6"/>
</file>

<file path=xl/ctrlProps/ctrlProp69.xml><?xml version="1.0" encoding="utf-8"?>
<formControlPr xmlns="http://schemas.microsoft.com/office/spreadsheetml/2009/9/main" objectType="Scroll" dx="22" fmlaLink="'Slider Links'!$F$2" horiz="1" max="20" page="5" val="16"/>
</file>

<file path=xl/ctrlProps/ctrlProp70.xml><?xml version="1.0" encoding="utf-8"?>
<formControlPr xmlns="http://schemas.microsoft.com/office/spreadsheetml/2009/9/main" objectType="Scroll" dx="22" fmlaLink="'Slider Links'!$F$17" horiz="1" max="20" page="5" val="13"/>
</file>

<file path=xl/ctrlProps/ctrlProp71.xml><?xml version="1.0" encoding="utf-8"?>
<formControlPr xmlns="http://schemas.microsoft.com/office/spreadsheetml/2009/9/main" objectType="Scroll" dx="22" fmlaLink="'Slider Links'!$F$11" horiz="1" max="20" page="5" val="14"/>
</file>

<file path=xl/ctrlProps/ctrlProp72.xml><?xml version="1.0" encoding="utf-8"?>
<formControlPr xmlns="http://schemas.microsoft.com/office/spreadsheetml/2009/9/main" objectType="Scroll" dx="22" fmlaLink="'Slider Links'!$F$9" horiz="1" max="20" page="5" val="20"/>
</file>

<file path=xl/ctrlProps/ctrlProp73.xml><?xml version="1.0" encoding="utf-8"?>
<formControlPr xmlns="http://schemas.microsoft.com/office/spreadsheetml/2009/9/main" objectType="Scroll" dx="22" fmlaLink="'Slider Links'!$F$3" horiz="1" max="20" page="5" val="10"/>
</file>

<file path=xl/ctrlProps/ctrlProp74.xml><?xml version="1.0" encoding="utf-8"?>
<formControlPr xmlns="http://schemas.microsoft.com/office/spreadsheetml/2009/9/main" objectType="Scroll" dx="22" fmlaLink="'Slider Links'!$F$12" horiz="1" max="20" page="5" val="10"/>
</file>

<file path=xl/ctrlProps/ctrlProp75.xml><?xml version="1.0" encoding="utf-8"?>
<formControlPr xmlns="http://schemas.microsoft.com/office/spreadsheetml/2009/9/main" objectType="Scroll" dx="22" fmlaLink="'Slider Links'!$F$7" horiz="1" max="20" page="5" val="12"/>
</file>

<file path=xl/ctrlProps/ctrlProp76.xml><?xml version="1.0" encoding="utf-8"?>
<formControlPr xmlns="http://schemas.microsoft.com/office/spreadsheetml/2009/9/main" objectType="Scroll" dx="22" fmlaLink="'Slider Links'!$F$5" horiz="1" max="20" page="5" val="14"/>
</file>

<file path=xl/ctrlProps/ctrlProp77.xml><?xml version="1.0" encoding="utf-8"?>
<formControlPr xmlns="http://schemas.microsoft.com/office/spreadsheetml/2009/9/main" objectType="Scroll" dx="22" fmlaLink="'Slider Links'!$F$14" horiz="1" max="20" page="5" val="10"/>
</file>

<file path=xl/ctrlProps/ctrlProp78.xml><?xml version="1.0" encoding="utf-8"?>
<formControlPr xmlns="http://schemas.microsoft.com/office/spreadsheetml/2009/9/main" objectType="Scroll" dx="22" fmlaLink="'Slider Links'!$F$16" horiz="1" max="20" page="5" val="14"/>
</file>

<file path=xl/ctrlProps/ctrlProp79.xml><?xml version="1.0" encoding="utf-8"?>
<formControlPr xmlns="http://schemas.microsoft.com/office/spreadsheetml/2009/9/main" objectType="Scroll" dx="22" fmlaLink="'Slider Links'!$F$15" horiz="1" max="20" page="5" val="0"/>
</file>

<file path=xl/ctrlProps/ctrlProp80.xml><?xml version="1.0" encoding="utf-8"?>
<formControlPr xmlns="http://schemas.microsoft.com/office/spreadsheetml/2009/9/main" objectType="Scroll" dx="22" fmlaLink="'Slider Links'!$F$4" horiz="1" max="20" page="5" val="2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5</xdr:row>
          <xdr:rowOff>0</xdr:rowOff>
        </xdr:from>
        <xdr:to>
          <xdr:col>8</xdr:col>
          <xdr:colOff>1095375</xdr:colOff>
          <xdr:row>5</xdr:row>
          <xdr:rowOff>180975</xdr:rowOff>
        </xdr:to>
        <xdr:sp macro="" textlink="">
          <xdr:nvSpPr>
            <xdr:cNvPr id="2050" name="slider_Lightning_0"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12</xdr:row>
          <xdr:rowOff>0</xdr:rowOff>
        </xdr:from>
        <xdr:to>
          <xdr:col>8</xdr:col>
          <xdr:colOff>1095375</xdr:colOff>
          <xdr:row>12</xdr:row>
          <xdr:rowOff>171450</xdr:rowOff>
        </xdr:to>
        <xdr:sp macro="" textlink="">
          <xdr:nvSpPr>
            <xdr:cNvPr id="2051" name="slider_Nature_0"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9</xdr:row>
          <xdr:rowOff>66675</xdr:rowOff>
        </xdr:from>
        <xdr:to>
          <xdr:col>8</xdr:col>
          <xdr:colOff>1095375</xdr:colOff>
          <xdr:row>9</xdr:row>
          <xdr:rowOff>247650</xdr:rowOff>
        </xdr:to>
        <xdr:sp macro="" textlink="">
          <xdr:nvSpPr>
            <xdr:cNvPr id="2052" name="slider_Blood_0"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7</xdr:row>
          <xdr:rowOff>76200</xdr:rowOff>
        </xdr:from>
        <xdr:to>
          <xdr:col>8</xdr:col>
          <xdr:colOff>1095375</xdr:colOff>
          <xdr:row>7</xdr:row>
          <xdr:rowOff>247650</xdr:rowOff>
        </xdr:to>
        <xdr:sp macro="" textlink="">
          <xdr:nvSpPr>
            <xdr:cNvPr id="2053" name="slider_Dark_0"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1</xdr:row>
          <xdr:rowOff>76200</xdr:rowOff>
        </xdr:from>
        <xdr:to>
          <xdr:col>8</xdr:col>
          <xdr:colOff>1095375</xdr:colOff>
          <xdr:row>1</xdr:row>
          <xdr:rowOff>247650</xdr:rowOff>
        </xdr:to>
        <xdr:sp macro="" textlink="">
          <xdr:nvSpPr>
            <xdr:cNvPr id="2054" name="slider_Water_0"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16</xdr:row>
          <xdr:rowOff>152400</xdr:rowOff>
        </xdr:from>
        <xdr:to>
          <xdr:col>8</xdr:col>
          <xdr:colOff>1095375</xdr:colOff>
          <xdr:row>16</xdr:row>
          <xdr:rowOff>333375</xdr:rowOff>
        </xdr:to>
        <xdr:sp macro="" textlink="">
          <xdr:nvSpPr>
            <xdr:cNvPr id="2055" name="slider_Disease_0"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10</xdr:row>
          <xdr:rowOff>76200</xdr:rowOff>
        </xdr:from>
        <xdr:to>
          <xdr:col>8</xdr:col>
          <xdr:colOff>1095375</xdr:colOff>
          <xdr:row>10</xdr:row>
          <xdr:rowOff>247650</xdr:rowOff>
        </xdr:to>
        <xdr:sp macro="" textlink="">
          <xdr:nvSpPr>
            <xdr:cNvPr id="2056" name="slider_Life_0"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8</xdr:row>
          <xdr:rowOff>0</xdr:rowOff>
        </xdr:from>
        <xdr:to>
          <xdr:col>8</xdr:col>
          <xdr:colOff>1095375</xdr:colOff>
          <xdr:row>8</xdr:row>
          <xdr:rowOff>180975</xdr:rowOff>
        </xdr:to>
        <xdr:sp macro="" textlink="">
          <xdr:nvSpPr>
            <xdr:cNvPr id="2057" name="slider_Metal_0"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2</xdr:row>
          <xdr:rowOff>0</xdr:rowOff>
        </xdr:from>
        <xdr:to>
          <xdr:col>8</xdr:col>
          <xdr:colOff>1095375</xdr:colOff>
          <xdr:row>2</xdr:row>
          <xdr:rowOff>180975</xdr:rowOff>
        </xdr:to>
        <xdr:sp macro="" textlink="">
          <xdr:nvSpPr>
            <xdr:cNvPr id="2058" name="slider_Fire_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11</xdr:row>
          <xdr:rowOff>66675</xdr:rowOff>
        </xdr:from>
        <xdr:to>
          <xdr:col>8</xdr:col>
          <xdr:colOff>1095375</xdr:colOff>
          <xdr:row>11</xdr:row>
          <xdr:rowOff>247650</xdr:rowOff>
        </xdr:to>
        <xdr:sp macro="" textlink="">
          <xdr:nvSpPr>
            <xdr:cNvPr id="2059" name="slider_Death_0"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6</xdr:row>
          <xdr:rowOff>66675</xdr:rowOff>
        </xdr:from>
        <xdr:to>
          <xdr:col>8</xdr:col>
          <xdr:colOff>1095375</xdr:colOff>
          <xdr:row>6</xdr:row>
          <xdr:rowOff>247650</xdr:rowOff>
        </xdr:to>
        <xdr:sp macro="" textlink="">
          <xdr:nvSpPr>
            <xdr:cNvPr id="2060" name="slider_Ice_0"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4</xdr:row>
          <xdr:rowOff>0</xdr:rowOff>
        </xdr:from>
        <xdr:to>
          <xdr:col>8</xdr:col>
          <xdr:colOff>1095375</xdr:colOff>
          <xdr:row>4</xdr:row>
          <xdr:rowOff>180975</xdr:rowOff>
        </xdr:to>
        <xdr:sp macro="" textlink="">
          <xdr:nvSpPr>
            <xdr:cNvPr id="2061" name="slider_Wind_0"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13</xdr:row>
          <xdr:rowOff>9525</xdr:rowOff>
        </xdr:from>
        <xdr:to>
          <xdr:col>8</xdr:col>
          <xdr:colOff>1095375</xdr:colOff>
          <xdr:row>14</xdr:row>
          <xdr:rowOff>0</xdr:rowOff>
        </xdr:to>
        <xdr:sp macro="" textlink="">
          <xdr:nvSpPr>
            <xdr:cNvPr id="2062" name="slider_Light_0"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15</xdr:row>
          <xdr:rowOff>0</xdr:rowOff>
        </xdr:from>
        <xdr:to>
          <xdr:col>8</xdr:col>
          <xdr:colOff>1095375</xdr:colOff>
          <xdr:row>15</xdr:row>
          <xdr:rowOff>180975</xdr:rowOff>
        </xdr:to>
        <xdr:sp macro="" textlink="">
          <xdr:nvSpPr>
            <xdr:cNvPr id="2063" name="slider_Poison_0"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14</xdr:row>
          <xdr:rowOff>76200</xdr:rowOff>
        </xdr:from>
        <xdr:to>
          <xdr:col>8</xdr:col>
          <xdr:colOff>1095375</xdr:colOff>
          <xdr:row>14</xdr:row>
          <xdr:rowOff>247650</xdr:rowOff>
        </xdr:to>
        <xdr:sp macro="" textlink="">
          <xdr:nvSpPr>
            <xdr:cNvPr id="2064" name="slider_Dream_0" hidden="1">
              <a:extLst>
                <a:ext uri="{63B3BB69-23CF-44E3-9099-C40C66FF867C}">
                  <a14:compatExt spid="_x0000_s2064"/>
                </a:ext>
                <a:ext uri="{FF2B5EF4-FFF2-40B4-BE49-F238E27FC236}">
                  <a16:creationId xmlns:a16="http://schemas.microsoft.com/office/drawing/2014/main" id="{00000000-0008-0000-0100-000010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3</xdr:row>
          <xdr:rowOff>0</xdr:rowOff>
        </xdr:from>
        <xdr:to>
          <xdr:col>8</xdr:col>
          <xdr:colOff>1095375</xdr:colOff>
          <xdr:row>3</xdr:row>
          <xdr:rowOff>180975</xdr:rowOff>
        </xdr:to>
        <xdr:sp macro="" textlink="">
          <xdr:nvSpPr>
            <xdr:cNvPr id="2065" name="slider_Earth_0" hidden="1">
              <a:extLst>
                <a:ext uri="{63B3BB69-23CF-44E3-9099-C40C66FF867C}">
                  <a14:compatExt spid="_x0000_s2065"/>
                </a:ext>
                <a:ext uri="{FF2B5EF4-FFF2-40B4-BE49-F238E27FC236}">
                  <a16:creationId xmlns:a16="http://schemas.microsoft.com/office/drawing/2014/main" id="{00000000-0008-0000-0100-00001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5</xdr:row>
          <xdr:rowOff>0</xdr:rowOff>
        </xdr:from>
        <xdr:to>
          <xdr:col>10</xdr:col>
          <xdr:colOff>1085850</xdr:colOff>
          <xdr:row>5</xdr:row>
          <xdr:rowOff>180975</xdr:rowOff>
        </xdr:to>
        <xdr:sp macro="" textlink="">
          <xdr:nvSpPr>
            <xdr:cNvPr id="2067" name="slider_Lightning_1" hidden="1">
              <a:extLst>
                <a:ext uri="{63B3BB69-23CF-44E3-9099-C40C66FF867C}">
                  <a14:compatExt spid="_x0000_s2067"/>
                </a:ext>
                <a:ext uri="{FF2B5EF4-FFF2-40B4-BE49-F238E27FC236}">
                  <a16:creationId xmlns:a16="http://schemas.microsoft.com/office/drawing/2014/main" id="{00000000-0008-0000-0100-00001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12</xdr:row>
          <xdr:rowOff>0</xdr:rowOff>
        </xdr:from>
        <xdr:to>
          <xdr:col>10</xdr:col>
          <xdr:colOff>1085850</xdr:colOff>
          <xdr:row>12</xdr:row>
          <xdr:rowOff>171450</xdr:rowOff>
        </xdr:to>
        <xdr:sp macro="" textlink="">
          <xdr:nvSpPr>
            <xdr:cNvPr id="2068" name="slider_Nature_1"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9</xdr:row>
          <xdr:rowOff>66675</xdr:rowOff>
        </xdr:from>
        <xdr:to>
          <xdr:col>10</xdr:col>
          <xdr:colOff>1085850</xdr:colOff>
          <xdr:row>9</xdr:row>
          <xdr:rowOff>247650</xdr:rowOff>
        </xdr:to>
        <xdr:sp macro="" textlink="">
          <xdr:nvSpPr>
            <xdr:cNvPr id="2069" name="slider_Blood_1" hidden="1">
              <a:extLst>
                <a:ext uri="{63B3BB69-23CF-44E3-9099-C40C66FF867C}">
                  <a14:compatExt spid="_x0000_s2069"/>
                </a:ext>
                <a:ext uri="{FF2B5EF4-FFF2-40B4-BE49-F238E27FC236}">
                  <a16:creationId xmlns:a16="http://schemas.microsoft.com/office/drawing/2014/main" id="{00000000-0008-0000-0100-000015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7</xdr:row>
          <xdr:rowOff>76200</xdr:rowOff>
        </xdr:from>
        <xdr:to>
          <xdr:col>10</xdr:col>
          <xdr:colOff>1085850</xdr:colOff>
          <xdr:row>7</xdr:row>
          <xdr:rowOff>247650</xdr:rowOff>
        </xdr:to>
        <xdr:sp macro="" textlink="">
          <xdr:nvSpPr>
            <xdr:cNvPr id="2070" name="slider_Dark_1" hidden="1">
              <a:extLst>
                <a:ext uri="{63B3BB69-23CF-44E3-9099-C40C66FF867C}">
                  <a14:compatExt spid="_x0000_s2070"/>
                </a:ext>
                <a:ext uri="{FF2B5EF4-FFF2-40B4-BE49-F238E27FC236}">
                  <a16:creationId xmlns:a16="http://schemas.microsoft.com/office/drawing/2014/main" id="{00000000-0008-0000-0100-000016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xdr:row>
          <xdr:rowOff>76200</xdr:rowOff>
        </xdr:from>
        <xdr:to>
          <xdr:col>10</xdr:col>
          <xdr:colOff>1085850</xdr:colOff>
          <xdr:row>1</xdr:row>
          <xdr:rowOff>247650</xdr:rowOff>
        </xdr:to>
        <xdr:sp macro="" textlink="">
          <xdr:nvSpPr>
            <xdr:cNvPr id="2071" name="slider_Water_1" hidden="1">
              <a:extLst>
                <a:ext uri="{63B3BB69-23CF-44E3-9099-C40C66FF867C}">
                  <a14:compatExt spid="_x0000_s2071"/>
                </a:ext>
                <a:ext uri="{FF2B5EF4-FFF2-40B4-BE49-F238E27FC236}">
                  <a16:creationId xmlns:a16="http://schemas.microsoft.com/office/drawing/2014/main" id="{00000000-0008-0000-0100-000017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16</xdr:row>
          <xdr:rowOff>152400</xdr:rowOff>
        </xdr:from>
        <xdr:to>
          <xdr:col>10</xdr:col>
          <xdr:colOff>1085850</xdr:colOff>
          <xdr:row>16</xdr:row>
          <xdr:rowOff>333375</xdr:rowOff>
        </xdr:to>
        <xdr:sp macro="" textlink="">
          <xdr:nvSpPr>
            <xdr:cNvPr id="2072" name="slider_Disease_1" hidden="1">
              <a:extLst>
                <a:ext uri="{63B3BB69-23CF-44E3-9099-C40C66FF867C}">
                  <a14:compatExt spid="_x0000_s2072"/>
                </a:ext>
                <a:ext uri="{FF2B5EF4-FFF2-40B4-BE49-F238E27FC236}">
                  <a16:creationId xmlns:a16="http://schemas.microsoft.com/office/drawing/2014/main" id="{00000000-0008-0000-0100-000018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10</xdr:row>
          <xdr:rowOff>76200</xdr:rowOff>
        </xdr:from>
        <xdr:to>
          <xdr:col>10</xdr:col>
          <xdr:colOff>1085850</xdr:colOff>
          <xdr:row>10</xdr:row>
          <xdr:rowOff>247650</xdr:rowOff>
        </xdr:to>
        <xdr:sp macro="" textlink="">
          <xdr:nvSpPr>
            <xdr:cNvPr id="2073" name="slider_Life_1" hidden="1">
              <a:extLst>
                <a:ext uri="{63B3BB69-23CF-44E3-9099-C40C66FF867C}">
                  <a14:compatExt spid="_x0000_s2073"/>
                </a:ext>
                <a:ext uri="{FF2B5EF4-FFF2-40B4-BE49-F238E27FC236}">
                  <a16:creationId xmlns:a16="http://schemas.microsoft.com/office/drawing/2014/main" id="{00000000-0008-0000-0100-000019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8</xdr:row>
          <xdr:rowOff>0</xdr:rowOff>
        </xdr:from>
        <xdr:to>
          <xdr:col>10</xdr:col>
          <xdr:colOff>1085850</xdr:colOff>
          <xdr:row>8</xdr:row>
          <xdr:rowOff>180975</xdr:rowOff>
        </xdr:to>
        <xdr:sp macro="" textlink="">
          <xdr:nvSpPr>
            <xdr:cNvPr id="2074" name="slider_Metal_1"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2</xdr:row>
          <xdr:rowOff>0</xdr:rowOff>
        </xdr:from>
        <xdr:to>
          <xdr:col>10</xdr:col>
          <xdr:colOff>1085850</xdr:colOff>
          <xdr:row>2</xdr:row>
          <xdr:rowOff>180975</xdr:rowOff>
        </xdr:to>
        <xdr:sp macro="" textlink="">
          <xdr:nvSpPr>
            <xdr:cNvPr id="2075" name="slider_Fire_1" hidden="1">
              <a:extLst>
                <a:ext uri="{63B3BB69-23CF-44E3-9099-C40C66FF867C}">
                  <a14:compatExt spid="_x0000_s2075"/>
                </a:ext>
                <a:ext uri="{FF2B5EF4-FFF2-40B4-BE49-F238E27FC236}">
                  <a16:creationId xmlns:a16="http://schemas.microsoft.com/office/drawing/2014/main" id="{00000000-0008-0000-0100-00001B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11</xdr:row>
          <xdr:rowOff>66675</xdr:rowOff>
        </xdr:from>
        <xdr:to>
          <xdr:col>10</xdr:col>
          <xdr:colOff>1085850</xdr:colOff>
          <xdr:row>11</xdr:row>
          <xdr:rowOff>247650</xdr:rowOff>
        </xdr:to>
        <xdr:sp macro="" textlink="">
          <xdr:nvSpPr>
            <xdr:cNvPr id="2076" name="slider_Death_1" hidden="1">
              <a:extLst>
                <a:ext uri="{63B3BB69-23CF-44E3-9099-C40C66FF867C}">
                  <a14:compatExt spid="_x0000_s2076"/>
                </a:ext>
                <a:ext uri="{FF2B5EF4-FFF2-40B4-BE49-F238E27FC236}">
                  <a16:creationId xmlns:a16="http://schemas.microsoft.com/office/drawing/2014/main" id="{00000000-0008-0000-0100-00001C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6</xdr:row>
          <xdr:rowOff>66675</xdr:rowOff>
        </xdr:from>
        <xdr:to>
          <xdr:col>10</xdr:col>
          <xdr:colOff>1085850</xdr:colOff>
          <xdr:row>6</xdr:row>
          <xdr:rowOff>247650</xdr:rowOff>
        </xdr:to>
        <xdr:sp macro="" textlink="">
          <xdr:nvSpPr>
            <xdr:cNvPr id="2077" name="slider_Ice_1" hidden="1">
              <a:extLst>
                <a:ext uri="{63B3BB69-23CF-44E3-9099-C40C66FF867C}">
                  <a14:compatExt spid="_x0000_s2077"/>
                </a:ext>
                <a:ext uri="{FF2B5EF4-FFF2-40B4-BE49-F238E27FC236}">
                  <a16:creationId xmlns:a16="http://schemas.microsoft.com/office/drawing/2014/main" id="{00000000-0008-0000-0100-00001D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4</xdr:row>
          <xdr:rowOff>0</xdr:rowOff>
        </xdr:from>
        <xdr:to>
          <xdr:col>10</xdr:col>
          <xdr:colOff>1085850</xdr:colOff>
          <xdr:row>4</xdr:row>
          <xdr:rowOff>180975</xdr:rowOff>
        </xdr:to>
        <xdr:sp macro="" textlink="">
          <xdr:nvSpPr>
            <xdr:cNvPr id="2078" name="slider_Wind_1" hidden="1">
              <a:extLst>
                <a:ext uri="{63B3BB69-23CF-44E3-9099-C40C66FF867C}">
                  <a14:compatExt spid="_x0000_s2078"/>
                </a:ext>
                <a:ext uri="{FF2B5EF4-FFF2-40B4-BE49-F238E27FC236}">
                  <a16:creationId xmlns:a16="http://schemas.microsoft.com/office/drawing/2014/main" id="{00000000-0008-0000-0100-00001E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13</xdr:row>
          <xdr:rowOff>9525</xdr:rowOff>
        </xdr:from>
        <xdr:to>
          <xdr:col>10</xdr:col>
          <xdr:colOff>1085850</xdr:colOff>
          <xdr:row>14</xdr:row>
          <xdr:rowOff>0</xdr:rowOff>
        </xdr:to>
        <xdr:sp macro="" textlink="">
          <xdr:nvSpPr>
            <xdr:cNvPr id="2079" name="slider_Light_1" hidden="1">
              <a:extLst>
                <a:ext uri="{63B3BB69-23CF-44E3-9099-C40C66FF867C}">
                  <a14:compatExt spid="_x0000_s2079"/>
                </a:ext>
                <a:ext uri="{FF2B5EF4-FFF2-40B4-BE49-F238E27FC236}">
                  <a16:creationId xmlns:a16="http://schemas.microsoft.com/office/drawing/2014/main" id="{00000000-0008-0000-0100-00001F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15</xdr:row>
          <xdr:rowOff>0</xdr:rowOff>
        </xdr:from>
        <xdr:to>
          <xdr:col>10</xdr:col>
          <xdr:colOff>1085850</xdr:colOff>
          <xdr:row>15</xdr:row>
          <xdr:rowOff>180975</xdr:rowOff>
        </xdr:to>
        <xdr:sp macro="" textlink="">
          <xdr:nvSpPr>
            <xdr:cNvPr id="2080" name="slider_Poison_1" hidden="1">
              <a:extLst>
                <a:ext uri="{63B3BB69-23CF-44E3-9099-C40C66FF867C}">
                  <a14:compatExt spid="_x0000_s2080"/>
                </a:ext>
                <a:ext uri="{FF2B5EF4-FFF2-40B4-BE49-F238E27FC236}">
                  <a16:creationId xmlns:a16="http://schemas.microsoft.com/office/drawing/2014/main" id="{00000000-0008-0000-0100-000020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14</xdr:row>
          <xdr:rowOff>76200</xdr:rowOff>
        </xdr:from>
        <xdr:to>
          <xdr:col>10</xdr:col>
          <xdr:colOff>1085850</xdr:colOff>
          <xdr:row>14</xdr:row>
          <xdr:rowOff>247650</xdr:rowOff>
        </xdr:to>
        <xdr:sp macro="" textlink="">
          <xdr:nvSpPr>
            <xdr:cNvPr id="2081" name="slider_Dream_1" hidden="1">
              <a:extLst>
                <a:ext uri="{63B3BB69-23CF-44E3-9099-C40C66FF867C}">
                  <a14:compatExt spid="_x0000_s2081"/>
                </a:ext>
                <a:ext uri="{FF2B5EF4-FFF2-40B4-BE49-F238E27FC236}">
                  <a16:creationId xmlns:a16="http://schemas.microsoft.com/office/drawing/2014/main" id="{00000000-0008-0000-0100-00002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3</xdr:row>
          <xdr:rowOff>0</xdr:rowOff>
        </xdr:from>
        <xdr:to>
          <xdr:col>10</xdr:col>
          <xdr:colOff>1085850</xdr:colOff>
          <xdr:row>3</xdr:row>
          <xdr:rowOff>180975</xdr:rowOff>
        </xdr:to>
        <xdr:sp macro="" textlink="">
          <xdr:nvSpPr>
            <xdr:cNvPr id="2082" name="slider_Earth_1" hidden="1">
              <a:extLst>
                <a:ext uri="{63B3BB69-23CF-44E3-9099-C40C66FF867C}">
                  <a14:compatExt spid="_x0000_s2082"/>
                </a:ext>
                <a:ext uri="{FF2B5EF4-FFF2-40B4-BE49-F238E27FC236}">
                  <a16:creationId xmlns:a16="http://schemas.microsoft.com/office/drawing/2014/main" id="{00000000-0008-0000-0100-00002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5</xdr:row>
          <xdr:rowOff>0</xdr:rowOff>
        </xdr:from>
        <xdr:to>
          <xdr:col>12</xdr:col>
          <xdr:colOff>1085850</xdr:colOff>
          <xdr:row>5</xdr:row>
          <xdr:rowOff>180975</xdr:rowOff>
        </xdr:to>
        <xdr:sp macro="" textlink="">
          <xdr:nvSpPr>
            <xdr:cNvPr id="2084" name="slider_Lightning_2" hidden="1">
              <a:extLst>
                <a:ext uri="{63B3BB69-23CF-44E3-9099-C40C66FF867C}">
                  <a14:compatExt spid="_x0000_s2084"/>
                </a:ext>
                <a:ext uri="{FF2B5EF4-FFF2-40B4-BE49-F238E27FC236}">
                  <a16:creationId xmlns:a16="http://schemas.microsoft.com/office/drawing/2014/main" id="{00000000-0008-0000-0100-00002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12</xdr:row>
          <xdr:rowOff>0</xdr:rowOff>
        </xdr:from>
        <xdr:to>
          <xdr:col>12</xdr:col>
          <xdr:colOff>1085850</xdr:colOff>
          <xdr:row>12</xdr:row>
          <xdr:rowOff>171450</xdr:rowOff>
        </xdr:to>
        <xdr:sp macro="" textlink="">
          <xdr:nvSpPr>
            <xdr:cNvPr id="2085" name="slider_Nature_2" hidden="1">
              <a:extLst>
                <a:ext uri="{63B3BB69-23CF-44E3-9099-C40C66FF867C}">
                  <a14:compatExt spid="_x0000_s2085"/>
                </a:ext>
                <a:ext uri="{FF2B5EF4-FFF2-40B4-BE49-F238E27FC236}">
                  <a16:creationId xmlns:a16="http://schemas.microsoft.com/office/drawing/2014/main" id="{00000000-0008-0000-0100-000025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9</xdr:row>
          <xdr:rowOff>66675</xdr:rowOff>
        </xdr:from>
        <xdr:to>
          <xdr:col>12</xdr:col>
          <xdr:colOff>1085850</xdr:colOff>
          <xdr:row>9</xdr:row>
          <xdr:rowOff>247650</xdr:rowOff>
        </xdr:to>
        <xdr:sp macro="" textlink="">
          <xdr:nvSpPr>
            <xdr:cNvPr id="2086" name="slider_Blood_2" hidden="1">
              <a:extLst>
                <a:ext uri="{63B3BB69-23CF-44E3-9099-C40C66FF867C}">
                  <a14:compatExt spid="_x0000_s2086"/>
                </a:ext>
                <a:ext uri="{FF2B5EF4-FFF2-40B4-BE49-F238E27FC236}">
                  <a16:creationId xmlns:a16="http://schemas.microsoft.com/office/drawing/2014/main" id="{00000000-0008-0000-0100-000026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7</xdr:row>
          <xdr:rowOff>76200</xdr:rowOff>
        </xdr:from>
        <xdr:to>
          <xdr:col>12</xdr:col>
          <xdr:colOff>1085850</xdr:colOff>
          <xdr:row>7</xdr:row>
          <xdr:rowOff>247650</xdr:rowOff>
        </xdr:to>
        <xdr:sp macro="" textlink="">
          <xdr:nvSpPr>
            <xdr:cNvPr id="2087" name="slider_Dark_2" hidden="1">
              <a:extLst>
                <a:ext uri="{63B3BB69-23CF-44E3-9099-C40C66FF867C}">
                  <a14:compatExt spid="_x0000_s2087"/>
                </a:ext>
                <a:ext uri="{FF2B5EF4-FFF2-40B4-BE49-F238E27FC236}">
                  <a16:creationId xmlns:a16="http://schemas.microsoft.com/office/drawing/2014/main" id="{00000000-0008-0000-0100-000027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xdr:row>
          <xdr:rowOff>76200</xdr:rowOff>
        </xdr:from>
        <xdr:to>
          <xdr:col>12</xdr:col>
          <xdr:colOff>1085850</xdr:colOff>
          <xdr:row>1</xdr:row>
          <xdr:rowOff>247650</xdr:rowOff>
        </xdr:to>
        <xdr:sp macro="" textlink="">
          <xdr:nvSpPr>
            <xdr:cNvPr id="2088" name="slider_Water_2" hidden="1">
              <a:extLst>
                <a:ext uri="{63B3BB69-23CF-44E3-9099-C40C66FF867C}">
                  <a14:compatExt spid="_x0000_s2088"/>
                </a:ext>
                <a:ext uri="{FF2B5EF4-FFF2-40B4-BE49-F238E27FC236}">
                  <a16:creationId xmlns:a16="http://schemas.microsoft.com/office/drawing/2014/main" id="{00000000-0008-0000-0100-000028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16</xdr:row>
          <xdr:rowOff>152400</xdr:rowOff>
        </xdr:from>
        <xdr:to>
          <xdr:col>12</xdr:col>
          <xdr:colOff>1085850</xdr:colOff>
          <xdr:row>16</xdr:row>
          <xdr:rowOff>333375</xdr:rowOff>
        </xdr:to>
        <xdr:sp macro="" textlink="">
          <xdr:nvSpPr>
            <xdr:cNvPr id="2089" name="slider_Disease_2" hidden="1">
              <a:extLst>
                <a:ext uri="{63B3BB69-23CF-44E3-9099-C40C66FF867C}">
                  <a14:compatExt spid="_x0000_s2089"/>
                </a:ext>
                <a:ext uri="{FF2B5EF4-FFF2-40B4-BE49-F238E27FC236}">
                  <a16:creationId xmlns:a16="http://schemas.microsoft.com/office/drawing/2014/main" id="{00000000-0008-0000-0100-000029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10</xdr:row>
          <xdr:rowOff>76200</xdr:rowOff>
        </xdr:from>
        <xdr:to>
          <xdr:col>12</xdr:col>
          <xdr:colOff>1085850</xdr:colOff>
          <xdr:row>10</xdr:row>
          <xdr:rowOff>247650</xdr:rowOff>
        </xdr:to>
        <xdr:sp macro="" textlink="">
          <xdr:nvSpPr>
            <xdr:cNvPr id="2090" name="slider_Life_2" hidden="1">
              <a:extLst>
                <a:ext uri="{63B3BB69-23CF-44E3-9099-C40C66FF867C}">
                  <a14:compatExt spid="_x0000_s2090"/>
                </a:ext>
                <a:ext uri="{FF2B5EF4-FFF2-40B4-BE49-F238E27FC236}">
                  <a16:creationId xmlns:a16="http://schemas.microsoft.com/office/drawing/2014/main" id="{00000000-0008-0000-0100-00002A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8</xdr:row>
          <xdr:rowOff>0</xdr:rowOff>
        </xdr:from>
        <xdr:to>
          <xdr:col>12</xdr:col>
          <xdr:colOff>1085850</xdr:colOff>
          <xdr:row>8</xdr:row>
          <xdr:rowOff>180975</xdr:rowOff>
        </xdr:to>
        <xdr:sp macro="" textlink="">
          <xdr:nvSpPr>
            <xdr:cNvPr id="2091" name="slider_Metal_2" hidden="1">
              <a:extLst>
                <a:ext uri="{63B3BB69-23CF-44E3-9099-C40C66FF867C}">
                  <a14:compatExt spid="_x0000_s2091"/>
                </a:ext>
                <a:ext uri="{FF2B5EF4-FFF2-40B4-BE49-F238E27FC236}">
                  <a16:creationId xmlns:a16="http://schemas.microsoft.com/office/drawing/2014/main" id="{00000000-0008-0000-0100-00002B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2</xdr:row>
          <xdr:rowOff>0</xdr:rowOff>
        </xdr:from>
        <xdr:to>
          <xdr:col>12</xdr:col>
          <xdr:colOff>1085850</xdr:colOff>
          <xdr:row>2</xdr:row>
          <xdr:rowOff>180975</xdr:rowOff>
        </xdr:to>
        <xdr:sp macro="" textlink="">
          <xdr:nvSpPr>
            <xdr:cNvPr id="2092" name="slider_Fire_2" hidden="1">
              <a:extLst>
                <a:ext uri="{63B3BB69-23CF-44E3-9099-C40C66FF867C}">
                  <a14:compatExt spid="_x0000_s2092"/>
                </a:ext>
                <a:ext uri="{FF2B5EF4-FFF2-40B4-BE49-F238E27FC236}">
                  <a16:creationId xmlns:a16="http://schemas.microsoft.com/office/drawing/2014/main" id="{00000000-0008-0000-0100-00002C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11</xdr:row>
          <xdr:rowOff>66675</xdr:rowOff>
        </xdr:from>
        <xdr:to>
          <xdr:col>12</xdr:col>
          <xdr:colOff>1085850</xdr:colOff>
          <xdr:row>11</xdr:row>
          <xdr:rowOff>247650</xdr:rowOff>
        </xdr:to>
        <xdr:sp macro="" textlink="">
          <xdr:nvSpPr>
            <xdr:cNvPr id="2093" name="slider_Death_2" hidden="1">
              <a:extLst>
                <a:ext uri="{63B3BB69-23CF-44E3-9099-C40C66FF867C}">
                  <a14:compatExt spid="_x0000_s2093"/>
                </a:ext>
                <a:ext uri="{FF2B5EF4-FFF2-40B4-BE49-F238E27FC236}">
                  <a16:creationId xmlns:a16="http://schemas.microsoft.com/office/drawing/2014/main" id="{00000000-0008-0000-0100-00002D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6</xdr:row>
          <xdr:rowOff>66675</xdr:rowOff>
        </xdr:from>
        <xdr:to>
          <xdr:col>12</xdr:col>
          <xdr:colOff>1085850</xdr:colOff>
          <xdr:row>6</xdr:row>
          <xdr:rowOff>247650</xdr:rowOff>
        </xdr:to>
        <xdr:sp macro="" textlink="">
          <xdr:nvSpPr>
            <xdr:cNvPr id="2094" name="slider_Ice_2" hidden="1">
              <a:extLst>
                <a:ext uri="{63B3BB69-23CF-44E3-9099-C40C66FF867C}">
                  <a14:compatExt spid="_x0000_s2094"/>
                </a:ext>
                <a:ext uri="{FF2B5EF4-FFF2-40B4-BE49-F238E27FC236}">
                  <a16:creationId xmlns:a16="http://schemas.microsoft.com/office/drawing/2014/main" id="{00000000-0008-0000-0100-00002E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4</xdr:row>
          <xdr:rowOff>0</xdr:rowOff>
        </xdr:from>
        <xdr:to>
          <xdr:col>12</xdr:col>
          <xdr:colOff>1085850</xdr:colOff>
          <xdr:row>4</xdr:row>
          <xdr:rowOff>180975</xdr:rowOff>
        </xdr:to>
        <xdr:sp macro="" textlink="">
          <xdr:nvSpPr>
            <xdr:cNvPr id="2095" name="slider_Wind_2" hidden="1">
              <a:extLst>
                <a:ext uri="{63B3BB69-23CF-44E3-9099-C40C66FF867C}">
                  <a14:compatExt spid="_x0000_s2095"/>
                </a:ext>
                <a:ext uri="{FF2B5EF4-FFF2-40B4-BE49-F238E27FC236}">
                  <a16:creationId xmlns:a16="http://schemas.microsoft.com/office/drawing/2014/main" id="{00000000-0008-0000-0100-00002F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13</xdr:row>
          <xdr:rowOff>9525</xdr:rowOff>
        </xdr:from>
        <xdr:to>
          <xdr:col>12</xdr:col>
          <xdr:colOff>1085850</xdr:colOff>
          <xdr:row>14</xdr:row>
          <xdr:rowOff>0</xdr:rowOff>
        </xdr:to>
        <xdr:sp macro="" textlink="">
          <xdr:nvSpPr>
            <xdr:cNvPr id="2096" name="slider_Light_2" hidden="1">
              <a:extLst>
                <a:ext uri="{63B3BB69-23CF-44E3-9099-C40C66FF867C}">
                  <a14:compatExt spid="_x0000_s2096"/>
                </a:ext>
                <a:ext uri="{FF2B5EF4-FFF2-40B4-BE49-F238E27FC236}">
                  <a16:creationId xmlns:a16="http://schemas.microsoft.com/office/drawing/2014/main" id="{00000000-0008-0000-0100-000030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15</xdr:row>
          <xdr:rowOff>0</xdr:rowOff>
        </xdr:from>
        <xdr:to>
          <xdr:col>12</xdr:col>
          <xdr:colOff>1085850</xdr:colOff>
          <xdr:row>15</xdr:row>
          <xdr:rowOff>180975</xdr:rowOff>
        </xdr:to>
        <xdr:sp macro="" textlink="">
          <xdr:nvSpPr>
            <xdr:cNvPr id="2097" name="slider_Poison_2" hidden="1">
              <a:extLst>
                <a:ext uri="{63B3BB69-23CF-44E3-9099-C40C66FF867C}">
                  <a14:compatExt spid="_x0000_s2097"/>
                </a:ext>
                <a:ext uri="{FF2B5EF4-FFF2-40B4-BE49-F238E27FC236}">
                  <a16:creationId xmlns:a16="http://schemas.microsoft.com/office/drawing/2014/main" id="{00000000-0008-0000-0100-00003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14</xdr:row>
          <xdr:rowOff>76200</xdr:rowOff>
        </xdr:from>
        <xdr:to>
          <xdr:col>12</xdr:col>
          <xdr:colOff>1085850</xdr:colOff>
          <xdr:row>14</xdr:row>
          <xdr:rowOff>247650</xdr:rowOff>
        </xdr:to>
        <xdr:sp macro="" textlink="">
          <xdr:nvSpPr>
            <xdr:cNvPr id="2098" name="slider_Dream_2" hidden="1">
              <a:extLst>
                <a:ext uri="{63B3BB69-23CF-44E3-9099-C40C66FF867C}">
                  <a14:compatExt spid="_x0000_s2098"/>
                </a:ext>
                <a:ext uri="{FF2B5EF4-FFF2-40B4-BE49-F238E27FC236}">
                  <a16:creationId xmlns:a16="http://schemas.microsoft.com/office/drawing/2014/main" id="{00000000-0008-0000-0100-00003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3</xdr:row>
          <xdr:rowOff>0</xdr:rowOff>
        </xdr:from>
        <xdr:to>
          <xdr:col>12</xdr:col>
          <xdr:colOff>1085850</xdr:colOff>
          <xdr:row>3</xdr:row>
          <xdr:rowOff>180975</xdr:rowOff>
        </xdr:to>
        <xdr:sp macro="" textlink="">
          <xdr:nvSpPr>
            <xdr:cNvPr id="2099" name="slider_Earth_2" hidden="1">
              <a:extLst>
                <a:ext uri="{63B3BB69-23CF-44E3-9099-C40C66FF867C}">
                  <a14:compatExt spid="_x0000_s2099"/>
                </a:ext>
                <a:ext uri="{FF2B5EF4-FFF2-40B4-BE49-F238E27FC236}">
                  <a16:creationId xmlns:a16="http://schemas.microsoft.com/office/drawing/2014/main" id="{00000000-0008-0000-0100-00003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5</xdr:row>
          <xdr:rowOff>0</xdr:rowOff>
        </xdr:from>
        <xdr:to>
          <xdr:col>14</xdr:col>
          <xdr:colOff>1085850</xdr:colOff>
          <xdr:row>5</xdr:row>
          <xdr:rowOff>180975</xdr:rowOff>
        </xdr:to>
        <xdr:sp macro="" textlink="">
          <xdr:nvSpPr>
            <xdr:cNvPr id="2101" name="slider_Lightning_3" hidden="1">
              <a:extLst>
                <a:ext uri="{63B3BB69-23CF-44E3-9099-C40C66FF867C}">
                  <a14:compatExt spid="_x0000_s2101"/>
                </a:ext>
                <a:ext uri="{FF2B5EF4-FFF2-40B4-BE49-F238E27FC236}">
                  <a16:creationId xmlns:a16="http://schemas.microsoft.com/office/drawing/2014/main" id="{00000000-0008-0000-0100-000035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12</xdr:row>
          <xdr:rowOff>0</xdr:rowOff>
        </xdr:from>
        <xdr:to>
          <xdr:col>14</xdr:col>
          <xdr:colOff>1085850</xdr:colOff>
          <xdr:row>12</xdr:row>
          <xdr:rowOff>171450</xdr:rowOff>
        </xdr:to>
        <xdr:sp macro="" textlink="">
          <xdr:nvSpPr>
            <xdr:cNvPr id="2102" name="slider_Nature_3" hidden="1">
              <a:extLst>
                <a:ext uri="{63B3BB69-23CF-44E3-9099-C40C66FF867C}">
                  <a14:compatExt spid="_x0000_s2102"/>
                </a:ext>
                <a:ext uri="{FF2B5EF4-FFF2-40B4-BE49-F238E27FC236}">
                  <a16:creationId xmlns:a16="http://schemas.microsoft.com/office/drawing/2014/main" id="{00000000-0008-0000-0100-000036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9</xdr:row>
          <xdr:rowOff>66675</xdr:rowOff>
        </xdr:from>
        <xdr:to>
          <xdr:col>14</xdr:col>
          <xdr:colOff>1085850</xdr:colOff>
          <xdr:row>9</xdr:row>
          <xdr:rowOff>247650</xdr:rowOff>
        </xdr:to>
        <xdr:sp macro="" textlink="">
          <xdr:nvSpPr>
            <xdr:cNvPr id="2103" name="slider_Blood_3" hidden="1">
              <a:extLst>
                <a:ext uri="{63B3BB69-23CF-44E3-9099-C40C66FF867C}">
                  <a14:compatExt spid="_x0000_s2103"/>
                </a:ext>
                <a:ext uri="{FF2B5EF4-FFF2-40B4-BE49-F238E27FC236}">
                  <a16:creationId xmlns:a16="http://schemas.microsoft.com/office/drawing/2014/main" id="{00000000-0008-0000-0100-000037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7</xdr:row>
          <xdr:rowOff>76200</xdr:rowOff>
        </xdr:from>
        <xdr:to>
          <xdr:col>14</xdr:col>
          <xdr:colOff>1085850</xdr:colOff>
          <xdr:row>7</xdr:row>
          <xdr:rowOff>247650</xdr:rowOff>
        </xdr:to>
        <xdr:sp macro="" textlink="">
          <xdr:nvSpPr>
            <xdr:cNvPr id="2104" name="slider_Dark_3" hidden="1">
              <a:extLst>
                <a:ext uri="{63B3BB69-23CF-44E3-9099-C40C66FF867C}">
                  <a14:compatExt spid="_x0000_s2104"/>
                </a:ext>
                <a:ext uri="{FF2B5EF4-FFF2-40B4-BE49-F238E27FC236}">
                  <a16:creationId xmlns:a16="http://schemas.microsoft.com/office/drawing/2014/main" id="{00000000-0008-0000-0100-000038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xdr:row>
          <xdr:rowOff>76200</xdr:rowOff>
        </xdr:from>
        <xdr:to>
          <xdr:col>14</xdr:col>
          <xdr:colOff>1085850</xdr:colOff>
          <xdr:row>1</xdr:row>
          <xdr:rowOff>247650</xdr:rowOff>
        </xdr:to>
        <xdr:sp macro="" textlink="">
          <xdr:nvSpPr>
            <xdr:cNvPr id="2105" name="slider_Water_3" hidden="1">
              <a:extLst>
                <a:ext uri="{63B3BB69-23CF-44E3-9099-C40C66FF867C}">
                  <a14:compatExt spid="_x0000_s2105"/>
                </a:ext>
                <a:ext uri="{FF2B5EF4-FFF2-40B4-BE49-F238E27FC236}">
                  <a16:creationId xmlns:a16="http://schemas.microsoft.com/office/drawing/2014/main" id="{00000000-0008-0000-0100-000039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16</xdr:row>
          <xdr:rowOff>152400</xdr:rowOff>
        </xdr:from>
        <xdr:to>
          <xdr:col>14</xdr:col>
          <xdr:colOff>1085850</xdr:colOff>
          <xdr:row>16</xdr:row>
          <xdr:rowOff>333375</xdr:rowOff>
        </xdr:to>
        <xdr:sp macro="" textlink="">
          <xdr:nvSpPr>
            <xdr:cNvPr id="2106" name="slider_Disease_3" hidden="1">
              <a:extLst>
                <a:ext uri="{63B3BB69-23CF-44E3-9099-C40C66FF867C}">
                  <a14:compatExt spid="_x0000_s2106"/>
                </a:ext>
                <a:ext uri="{FF2B5EF4-FFF2-40B4-BE49-F238E27FC236}">
                  <a16:creationId xmlns:a16="http://schemas.microsoft.com/office/drawing/2014/main" id="{00000000-0008-0000-0100-00003A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10</xdr:row>
          <xdr:rowOff>76200</xdr:rowOff>
        </xdr:from>
        <xdr:to>
          <xdr:col>14</xdr:col>
          <xdr:colOff>1085850</xdr:colOff>
          <xdr:row>10</xdr:row>
          <xdr:rowOff>247650</xdr:rowOff>
        </xdr:to>
        <xdr:sp macro="" textlink="">
          <xdr:nvSpPr>
            <xdr:cNvPr id="2107" name="slider_Life_3" hidden="1">
              <a:extLst>
                <a:ext uri="{63B3BB69-23CF-44E3-9099-C40C66FF867C}">
                  <a14:compatExt spid="_x0000_s2107"/>
                </a:ext>
                <a:ext uri="{FF2B5EF4-FFF2-40B4-BE49-F238E27FC236}">
                  <a16:creationId xmlns:a16="http://schemas.microsoft.com/office/drawing/2014/main" id="{00000000-0008-0000-0100-00003B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8</xdr:row>
          <xdr:rowOff>0</xdr:rowOff>
        </xdr:from>
        <xdr:to>
          <xdr:col>14</xdr:col>
          <xdr:colOff>1085850</xdr:colOff>
          <xdr:row>8</xdr:row>
          <xdr:rowOff>180975</xdr:rowOff>
        </xdr:to>
        <xdr:sp macro="" textlink="">
          <xdr:nvSpPr>
            <xdr:cNvPr id="2108" name="slider_Metal_3" hidden="1">
              <a:extLst>
                <a:ext uri="{63B3BB69-23CF-44E3-9099-C40C66FF867C}">
                  <a14:compatExt spid="_x0000_s2108"/>
                </a:ext>
                <a:ext uri="{FF2B5EF4-FFF2-40B4-BE49-F238E27FC236}">
                  <a16:creationId xmlns:a16="http://schemas.microsoft.com/office/drawing/2014/main" id="{00000000-0008-0000-0100-00003C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2</xdr:row>
          <xdr:rowOff>0</xdr:rowOff>
        </xdr:from>
        <xdr:to>
          <xdr:col>14</xdr:col>
          <xdr:colOff>1085850</xdr:colOff>
          <xdr:row>2</xdr:row>
          <xdr:rowOff>180975</xdr:rowOff>
        </xdr:to>
        <xdr:sp macro="" textlink="">
          <xdr:nvSpPr>
            <xdr:cNvPr id="2109" name="slider_Fire_3" hidden="1">
              <a:extLst>
                <a:ext uri="{63B3BB69-23CF-44E3-9099-C40C66FF867C}">
                  <a14:compatExt spid="_x0000_s2109"/>
                </a:ext>
                <a:ext uri="{FF2B5EF4-FFF2-40B4-BE49-F238E27FC236}">
                  <a16:creationId xmlns:a16="http://schemas.microsoft.com/office/drawing/2014/main" id="{00000000-0008-0000-0100-00003D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11</xdr:row>
          <xdr:rowOff>66675</xdr:rowOff>
        </xdr:from>
        <xdr:to>
          <xdr:col>14</xdr:col>
          <xdr:colOff>1085850</xdr:colOff>
          <xdr:row>11</xdr:row>
          <xdr:rowOff>247650</xdr:rowOff>
        </xdr:to>
        <xdr:sp macro="" textlink="">
          <xdr:nvSpPr>
            <xdr:cNvPr id="2110" name="slider_Death_3" hidden="1">
              <a:extLst>
                <a:ext uri="{63B3BB69-23CF-44E3-9099-C40C66FF867C}">
                  <a14:compatExt spid="_x0000_s2110"/>
                </a:ext>
                <a:ext uri="{FF2B5EF4-FFF2-40B4-BE49-F238E27FC236}">
                  <a16:creationId xmlns:a16="http://schemas.microsoft.com/office/drawing/2014/main" id="{00000000-0008-0000-0100-00003E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6</xdr:row>
          <xdr:rowOff>66675</xdr:rowOff>
        </xdr:from>
        <xdr:to>
          <xdr:col>14</xdr:col>
          <xdr:colOff>1085850</xdr:colOff>
          <xdr:row>6</xdr:row>
          <xdr:rowOff>247650</xdr:rowOff>
        </xdr:to>
        <xdr:sp macro="" textlink="">
          <xdr:nvSpPr>
            <xdr:cNvPr id="2111" name="slider_Ice_3" hidden="1">
              <a:extLst>
                <a:ext uri="{63B3BB69-23CF-44E3-9099-C40C66FF867C}">
                  <a14:compatExt spid="_x0000_s2111"/>
                </a:ext>
                <a:ext uri="{FF2B5EF4-FFF2-40B4-BE49-F238E27FC236}">
                  <a16:creationId xmlns:a16="http://schemas.microsoft.com/office/drawing/2014/main" id="{00000000-0008-0000-0100-00003F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4</xdr:row>
          <xdr:rowOff>0</xdr:rowOff>
        </xdr:from>
        <xdr:to>
          <xdr:col>14</xdr:col>
          <xdr:colOff>1085850</xdr:colOff>
          <xdr:row>4</xdr:row>
          <xdr:rowOff>180975</xdr:rowOff>
        </xdr:to>
        <xdr:sp macro="" textlink="">
          <xdr:nvSpPr>
            <xdr:cNvPr id="2112" name="slider_Wind_3" hidden="1">
              <a:extLst>
                <a:ext uri="{63B3BB69-23CF-44E3-9099-C40C66FF867C}">
                  <a14:compatExt spid="_x0000_s2112"/>
                </a:ext>
                <a:ext uri="{FF2B5EF4-FFF2-40B4-BE49-F238E27FC236}">
                  <a16:creationId xmlns:a16="http://schemas.microsoft.com/office/drawing/2014/main" id="{00000000-0008-0000-0100-000040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13</xdr:row>
          <xdr:rowOff>9525</xdr:rowOff>
        </xdr:from>
        <xdr:to>
          <xdr:col>14</xdr:col>
          <xdr:colOff>1085850</xdr:colOff>
          <xdr:row>14</xdr:row>
          <xdr:rowOff>0</xdr:rowOff>
        </xdr:to>
        <xdr:sp macro="" textlink="">
          <xdr:nvSpPr>
            <xdr:cNvPr id="2113" name="slider_Light_3" hidden="1">
              <a:extLst>
                <a:ext uri="{63B3BB69-23CF-44E3-9099-C40C66FF867C}">
                  <a14:compatExt spid="_x0000_s2113"/>
                </a:ext>
                <a:ext uri="{FF2B5EF4-FFF2-40B4-BE49-F238E27FC236}">
                  <a16:creationId xmlns:a16="http://schemas.microsoft.com/office/drawing/2014/main" id="{00000000-0008-0000-0100-00004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15</xdr:row>
          <xdr:rowOff>0</xdr:rowOff>
        </xdr:from>
        <xdr:to>
          <xdr:col>14</xdr:col>
          <xdr:colOff>1085850</xdr:colOff>
          <xdr:row>15</xdr:row>
          <xdr:rowOff>180975</xdr:rowOff>
        </xdr:to>
        <xdr:sp macro="" textlink="">
          <xdr:nvSpPr>
            <xdr:cNvPr id="2114" name="slider_Poison_3" hidden="1">
              <a:extLst>
                <a:ext uri="{63B3BB69-23CF-44E3-9099-C40C66FF867C}">
                  <a14:compatExt spid="_x0000_s2114"/>
                </a:ext>
                <a:ext uri="{FF2B5EF4-FFF2-40B4-BE49-F238E27FC236}">
                  <a16:creationId xmlns:a16="http://schemas.microsoft.com/office/drawing/2014/main" id="{00000000-0008-0000-0100-00004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14</xdr:row>
          <xdr:rowOff>76200</xdr:rowOff>
        </xdr:from>
        <xdr:to>
          <xdr:col>14</xdr:col>
          <xdr:colOff>1085850</xdr:colOff>
          <xdr:row>14</xdr:row>
          <xdr:rowOff>247650</xdr:rowOff>
        </xdr:to>
        <xdr:sp macro="" textlink="">
          <xdr:nvSpPr>
            <xdr:cNvPr id="2115" name="slider_Dream_3" hidden="1">
              <a:extLst>
                <a:ext uri="{63B3BB69-23CF-44E3-9099-C40C66FF867C}">
                  <a14:compatExt spid="_x0000_s2115"/>
                </a:ext>
                <a:ext uri="{FF2B5EF4-FFF2-40B4-BE49-F238E27FC236}">
                  <a16:creationId xmlns:a16="http://schemas.microsoft.com/office/drawing/2014/main" id="{00000000-0008-0000-0100-00004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3</xdr:row>
          <xdr:rowOff>0</xdr:rowOff>
        </xdr:from>
        <xdr:to>
          <xdr:col>14</xdr:col>
          <xdr:colOff>1085850</xdr:colOff>
          <xdr:row>3</xdr:row>
          <xdr:rowOff>180975</xdr:rowOff>
        </xdr:to>
        <xdr:sp macro="" textlink="">
          <xdr:nvSpPr>
            <xdr:cNvPr id="2116" name="slider_Earth_3" hidden="1">
              <a:extLst>
                <a:ext uri="{63B3BB69-23CF-44E3-9099-C40C66FF867C}">
                  <a14:compatExt spid="_x0000_s2116"/>
                </a:ext>
                <a:ext uri="{FF2B5EF4-FFF2-40B4-BE49-F238E27FC236}">
                  <a16:creationId xmlns:a16="http://schemas.microsoft.com/office/drawing/2014/main" id="{00000000-0008-0000-0100-00004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5</xdr:row>
          <xdr:rowOff>0</xdr:rowOff>
        </xdr:from>
        <xdr:to>
          <xdr:col>16</xdr:col>
          <xdr:colOff>1095375</xdr:colOff>
          <xdr:row>5</xdr:row>
          <xdr:rowOff>180975</xdr:rowOff>
        </xdr:to>
        <xdr:sp macro="" textlink="">
          <xdr:nvSpPr>
            <xdr:cNvPr id="2118" name="slider_Lightning_4" hidden="1">
              <a:extLst>
                <a:ext uri="{63B3BB69-23CF-44E3-9099-C40C66FF867C}">
                  <a14:compatExt spid="_x0000_s2118"/>
                </a:ext>
                <a:ext uri="{FF2B5EF4-FFF2-40B4-BE49-F238E27FC236}">
                  <a16:creationId xmlns:a16="http://schemas.microsoft.com/office/drawing/2014/main" id="{00000000-0008-0000-0100-000046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12</xdr:row>
          <xdr:rowOff>0</xdr:rowOff>
        </xdr:from>
        <xdr:to>
          <xdr:col>16</xdr:col>
          <xdr:colOff>1095375</xdr:colOff>
          <xdr:row>12</xdr:row>
          <xdr:rowOff>171450</xdr:rowOff>
        </xdr:to>
        <xdr:sp macro="" textlink="">
          <xdr:nvSpPr>
            <xdr:cNvPr id="2119" name="slider_Nature_4" hidden="1">
              <a:extLst>
                <a:ext uri="{63B3BB69-23CF-44E3-9099-C40C66FF867C}">
                  <a14:compatExt spid="_x0000_s2119"/>
                </a:ext>
                <a:ext uri="{FF2B5EF4-FFF2-40B4-BE49-F238E27FC236}">
                  <a16:creationId xmlns:a16="http://schemas.microsoft.com/office/drawing/2014/main" id="{00000000-0008-0000-0100-000047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9</xdr:row>
          <xdr:rowOff>66675</xdr:rowOff>
        </xdr:from>
        <xdr:to>
          <xdr:col>16</xdr:col>
          <xdr:colOff>1095375</xdr:colOff>
          <xdr:row>9</xdr:row>
          <xdr:rowOff>247650</xdr:rowOff>
        </xdr:to>
        <xdr:sp macro="" textlink="">
          <xdr:nvSpPr>
            <xdr:cNvPr id="2120" name="slider_Blood_4" hidden="1">
              <a:extLst>
                <a:ext uri="{63B3BB69-23CF-44E3-9099-C40C66FF867C}">
                  <a14:compatExt spid="_x0000_s2120"/>
                </a:ext>
                <a:ext uri="{FF2B5EF4-FFF2-40B4-BE49-F238E27FC236}">
                  <a16:creationId xmlns:a16="http://schemas.microsoft.com/office/drawing/2014/main" id="{00000000-0008-0000-0100-000048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7</xdr:row>
          <xdr:rowOff>76200</xdr:rowOff>
        </xdr:from>
        <xdr:to>
          <xdr:col>16</xdr:col>
          <xdr:colOff>1095375</xdr:colOff>
          <xdr:row>7</xdr:row>
          <xdr:rowOff>247650</xdr:rowOff>
        </xdr:to>
        <xdr:sp macro="" textlink="">
          <xdr:nvSpPr>
            <xdr:cNvPr id="2121" name="slider_Dark_4" hidden="1">
              <a:extLst>
                <a:ext uri="{63B3BB69-23CF-44E3-9099-C40C66FF867C}">
                  <a14:compatExt spid="_x0000_s2121"/>
                </a:ext>
                <a:ext uri="{FF2B5EF4-FFF2-40B4-BE49-F238E27FC236}">
                  <a16:creationId xmlns:a16="http://schemas.microsoft.com/office/drawing/2014/main" id="{00000000-0008-0000-0100-000049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xdr:row>
          <xdr:rowOff>76200</xdr:rowOff>
        </xdr:from>
        <xdr:to>
          <xdr:col>16</xdr:col>
          <xdr:colOff>1095375</xdr:colOff>
          <xdr:row>1</xdr:row>
          <xdr:rowOff>247650</xdr:rowOff>
        </xdr:to>
        <xdr:sp macro="" textlink="">
          <xdr:nvSpPr>
            <xdr:cNvPr id="2122" name="slider_Water_4" hidden="1">
              <a:extLst>
                <a:ext uri="{63B3BB69-23CF-44E3-9099-C40C66FF867C}">
                  <a14:compatExt spid="_x0000_s2122"/>
                </a:ext>
                <a:ext uri="{FF2B5EF4-FFF2-40B4-BE49-F238E27FC236}">
                  <a16:creationId xmlns:a16="http://schemas.microsoft.com/office/drawing/2014/main" id="{00000000-0008-0000-0100-00004A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16</xdr:row>
          <xdr:rowOff>152400</xdr:rowOff>
        </xdr:from>
        <xdr:to>
          <xdr:col>16</xdr:col>
          <xdr:colOff>1095375</xdr:colOff>
          <xdr:row>16</xdr:row>
          <xdr:rowOff>333375</xdr:rowOff>
        </xdr:to>
        <xdr:sp macro="" textlink="">
          <xdr:nvSpPr>
            <xdr:cNvPr id="2123" name="slider_Disease_4" hidden="1">
              <a:extLst>
                <a:ext uri="{63B3BB69-23CF-44E3-9099-C40C66FF867C}">
                  <a14:compatExt spid="_x0000_s2123"/>
                </a:ext>
                <a:ext uri="{FF2B5EF4-FFF2-40B4-BE49-F238E27FC236}">
                  <a16:creationId xmlns:a16="http://schemas.microsoft.com/office/drawing/2014/main" id="{00000000-0008-0000-0100-00004B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10</xdr:row>
          <xdr:rowOff>76200</xdr:rowOff>
        </xdr:from>
        <xdr:to>
          <xdr:col>16</xdr:col>
          <xdr:colOff>1095375</xdr:colOff>
          <xdr:row>10</xdr:row>
          <xdr:rowOff>247650</xdr:rowOff>
        </xdr:to>
        <xdr:sp macro="" textlink="">
          <xdr:nvSpPr>
            <xdr:cNvPr id="2124" name="slider_Life_4" hidden="1">
              <a:extLst>
                <a:ext uri="{63B3BB69-23CF-44E3-9099-C40C66FF867C}">
                  <a14:compatExt spid="_x0000_s2124"/>
                </a:ext>
                <a:ext uri="{FF2B5EF4-FFF2-40B4-BE49-F238E27FC236}">
                  <a16:creationId xmlns:a16="http://schemas.microsoft.com/office/drawing/2014/main" id="{00000000-0008-0000-0100-00004C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8</xdr:row>
          <xdr:rowOff>0</xdr:rowOff>
        </xdr:from>
        <xdr:to>
          <xdr:col>16</xdr:col>
          <xdr:colOff>1095375</xdr:colOff>
          <xdr:row>8</xdr:row>
          <xdr:rowOff>180975</xdr:rowOff>
        </xdr:to>
        <xdr:sp macro="" textlink="">
          <xdr:nvSpPr>
            <xdr:cNvPr id="2125" name="slider_Metal_4" hidden="1">
              <a:extLst>
                <a:ext uri="{63B3BB69-23CF-44E3-9099-C40C66FF867C}">
                  <a14:compatExt spid="_x0000_s2125"/>
                </a:ext>
                <a:ext uri="{FF2B5EF4-FFF2-40B4-BE49-F238E27FC236}">
                  <a16:creationId xmlns:a16="http://schemas.microsoft.com/office/drawing/2014/main" id="{00000000-0008-0000-0100-00004D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2</xdr:row>
          <xdr:rowOff>0</xdr:rowOff>
        </xdr:from>
        <xdr:to>
          <xdr:col>16</xdr:col>
          <xdr:colOff>1095375</xdr:colOff>
          <xdr:row>2</xdr:row>
          <xdr:rowOff>180975</xdr:rowOff>
        </xdr:to>
        <xdr:sp macro="" textlink="">
          <xdr:nvSpPr>
            <xdr:cNvPr id="2126" name="slider_Fire_4" hidden="1">
              <a:extLst>
                <a:ext uri="{63B3BB69-23CF-44E3-9099-C40C66FF867C}">
                  <a14:compatExt spid="_x0000_s2126"/>
                </a:ext>
                <a:ext uri="{FF2B5EF4-FFF2-40B4-BE49-F238E27FC236}">
                  <a16:creationId xmlns:a16="http://schemas.microsoft.com/office/drawing/2014/main" id="{00000000-0008-0000-0100-00004E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11</xdr:row>
          <xdr:rowOff>66675</xdr:rowOff>
        </xdr:from>
        <xdr:to>
          <xdr:col>16</xdr:col>
          <xdr:colOff>1095375</xdr:colOff>
          <xdr:row>11</xdr:row>
          <xdr:rowOff>247650</xdr:rowOff>
        </xdr:to>
        <xdr:sp macro="" textlink="">
          <xdr:nvSpPr>
            <xdr:cNvPr id="2127" name="slider_Death_4" hidden="1">
              <a:extLst>
                <a:ext uri="{63B3BB69-23CF-44E3-9099-C40C66FF867C}">
                  <a14:compatExt spid="_x0000_s2127"/>
                </a:ext>
                <a:ext uri="{FF2B5EF4-FFF2-40B4-BE49-F238E27FC236}">
                  <a16:creationId xmlns:a16="http://schemas.microsoft.com/office/drawing/2014/main" id="{00000000-0008-0000-0100-00004F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6</xdr:row>
          <xdr:rowOff>66675</xdr:rowOff>
        </xdr:from>
        <xdr:to>
          <xdr:col>16</xdr:col>
          <xdr:colOff>1095375</xdr:colOff>
          <xdr:row>6</xdr:row>
          <xdr:rowOff>247650</xdr:rowOff>
        </xdr:to>
        <xdr:sp macro="" textlink="">
          <xdr:nvSpPr>
            <xdr:cNvPr id="2128" name="slider_Ice_4" hidden="1">
              <a:extLst>
                <a:ext uri="{63B3BB69-23CF-44E3-9099-C40C66FF867C}">
                  <a14:compatExt spid="_x0000_s2128"/>
                </a:ext>
                <a:ext uri="{FF2B5EF4-FFF2-40B4-BE49-F238E27FC236}">
                  <a16:creationId xmlns:a16="http://schemas.microsoft.com/office/drawing/2014/main" id="{00000000-0008-0000-0100-000050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4</xdr:row>
          <xdr:rowOff>0</xdr:rowOff>
        </xdr:from>
        <xdr:to>
          <xdr:col>16</xdr:col>
          <xdr:colOff>1095375</xdr:colOff>
          <xdr:row>4</xdr:row>
          <xdr:rowOff>180975</xdr:rowOff>
        </xdr:to>
        <xdr:sp macro="" textlink="">
          <xdr:nvSpPr>
            <xdr:cNvPr id="2129" name="slider_Wind_4" hidden="1">
              <a:extLst>
                <a:ext uri="{63B3BB69-23CF-44E3-9099-C40C66FF867C}">
                  <a14:compatExt spid="_x0000_s2129"/>
                </a:ext>
                <a:ext uri="{FF2B5EF4-FFF2-40B4-BE49-F238E27FC236}">
                  <a16:creationId xmlns:a16="http://schemas.microsoft.com/office/drawing/2014/main" id="{00000000-0008-0000-0100-000051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13</xdr:row>
          <xdr:rowOff>9525</xdr:rowOff>
        </xdr:from>
        <xdr:to>
          <xdr:col>16</xdr:col>
          <xdr:colOff>1095375</xdr:colOff>
          <xdr:row>14</xdr:row>
          <xdr:rowOff>0</xdr:rowOff>
        </xdr:to>
        <xdr:sp macro="" textlink="">
          <xdr:nvSpPr>
            <xdr:cNvPr id="2130" name="slider_Light_4" hidden="1">
              <a:extLst>
                <a:ext uri="{63B3BB69-23CF-44E3-9099-C40C66FF867C}">
                  <a14:compatExt spid="_x0000_s2130"/>
                </a:ext>
                <a:ext uri="{FF2B5EF4-FFF2-40B4-BE49-F238E27FC236}">
                  <a16:creationId xmlns:a16="http://schemas.microsoft.com/office/drawing/2014/main" id="{00000000-0008-0000-0100-00005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15</xdr:row>
          <xdr:rowOff>0</xdr:rowOff>
        </xdr:from>
        <xdr:to>
          <xdr:col>16</xdr:col>
          <xdr:colOff>1095375</xdr:colOff>
          <xdr:row>15</xdr:row>
          <xdr:rowOff>180975</xdr:rowOff>
        </xdr:to>
        <xdr:sp macro="" textlink="">
          <xdr:nvSpPr>
            <xdr:cNvPr id="2131" name="slider_Poison_4" hidden="1">
              <a:extLst>
                <a:ext uri="{63B3BB69-23CF-44E3-9099-C40C66FF867C}">
                  <a14:compatExt spid="_x0000_s2131"/>
                </a:ext>
                <a:ext uri="{FF2B5EF4-FFF2-40B4-BE49-F238E27FC236}">
                  <a16:creationId xmlns:a16="http://schemas.microsoft.com/office/drawing/2014/main" id="{00000000-0008-0000-0100-00005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14</xdr:row>
          <xdr:rowOff>76200</xdr:rowOff>
        </xdr:from>
        <xdr:to>
          <xdr:col>16</xdr:col>
          <xdr:colOff>1095375</xdr:colOff>
          <xdr:row>14</xdr:row>
          <xdr:rowOff>247650</xdr:rowOff>
        </xdr:to>
        <xdr:sp macro="" textlink="">
          <xdr:nvSpPr>
            <xdr:cNvPr id="2132" name="slider_Dream_4" hidden="1">
              <a:extLst>
                <a:ext uri="{63B3BB69-23CF-44E3-9099-C40C66FF867C}">
                  <a14:compatExt spid="_x0000_s2132"/>
                </a:ext>
                <a:ext uri="{FF2B5EF4-FFF2-40B4-BE49-F238E27FC236}">
                  <a16:creationId xmlns:a16="http://schemas.microsoft.com/office/drawing/2014/main" id="{00000000-0008-0000-0100-00005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3</xdr:row>
          <xdr:rowOff>0</xdr:rowOff>
        </xdr:from>
        <xdr:to>
          <xdr:col>16</xdr:col>
          <xdr:colOff>1095375</xdr:colOff>
          <xdr:row>3</xdr:row>
          <xdr:rowOff>180975</xdr:rowOff>
        </xdr:to>
        <xdr:sp macro="" textlink="">
          <xdr:nvSpPr>
            <xdr:cNvPr id="2133" name="slider_Earth_4" hidden="1">
              <a:extLst>
                <a:ext uri="{63B3BB69-23CF-44E3-9099-C40C66FF867C}">
                  <a14:compatExt spid="_x0000_s2133"/>
                </a:ext>
                <a:ext uri="{FF2B5EF4-FFF2-40B4-BE49-F238E27FC236}">
                  <a16:creationId xmlns:a16="http://schemas.microsoft.com/office/drawing/2014/main" id="{00000000-0008-0000-0100-000055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ctrlProp" Target="../ctrlProps/ctrlProp24.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16" Type="http://schemas.openxmlformats.org/officeDocument/2006/relationships/ctrlProp" Target="../ctrlProps/ctrlProp14.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5" Type="http://schemas.openxmlformats.org/officeDocument/2006/relationships/ctrlProp" Target="../ctrlProps/ctrlProp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43" Type="http://schemas.openxmlformats.org/officeDocument/2006/relationships/ctrlProp" Target="../ctrlProps/ctrlProp41.xml"/><Relationship Id="rId48" Type="http://schemas.openxmlformats.org/officeDocument/2006/relationships/ctrlProp" Target="../ctrlProps/ctrlProp46.xml"/><Relationship Id="rId56" Type="http://schemas.openxmlformats.org/officeDocument/2006/relationships/ctrlProp" Target="../ctrlProps/ctrlProp54.xml"/><Relationship Id="rId64" Type="http://schemas.openxmlformats.org/officeDocument/2006/relationships/ctrlProp" Target="../ctrlProps/ctrlProp62.xml"/><Relationship Id="rId69" Type="http://schemas.openxmlformats.org/officeDocument/2006/relationships/ctrlProp" Target="../ctrlProps/ctrlProp67.xml"/><Relationship Id="rId77" Type="http://schemas.openxmlformats.org/officeDocument/2006/relationships/ctrlProp" Target="../ctrlProps/ctrlProp75.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80" Type="http://schemas.openxmlformats.org/officeDocument/2006/relationships/ctrlProp" Target="../ctrlProps/ctrlProp78.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46" Type="http://schemas.openxmlformats.org/officeDocument/2006/relationships/ctrlProp" Target="../ctrlProps/ctrlProp44.xml"/><Relationship Id="rId59" Type="http://schemas.openxmlformats.org/officeDocument/2006/relationships/ctrlProp" Target="../ctrlProps/ctrlProp57.xml"/><Relationship Id="rId67" Type="http://schemas.openxmlformats.org/officeDocument/2006/relationships/ctrlProp" Target="../ctrlProps/ctrlProp65.xml"/><Relationship Id="rId20" Type="http://schemas.openxmlformats.org/officeDocument/2006/relationships/ctrlProp" Target="../ctrlProps/ctrlProp18.xml"/><Relationship Id="rId41" Type="http://schemas.openxmlformats.org/officeDocument/2006/relationships/ctrlProp" Target="../ctrlProps/ctrlProp39.xml"/><Relationship Id="rId54" Type="http://schemas.openxmlformats.org/officeDocument/2006/relationships/ctrlProp" Target="../ctrlProps/ctrlProp52.xml"/><Relationship Id="rId62" Type="http://schemas.openxmlformats.org/officeDocument/2006/relationships/ctrlProp" Target="../ctrlProps/ctrlProp60.xml"/><Relationship Id="rId70" Type="http://schemas.openxmlformats.org/officeDocument/2006/relationships/ctrlProp" Target="../ctrlProps/ctrlProp68.xml"/><Relationship Id="rId75" Type="http://schemas.openxmlformats.org/officeDocument/2006/relationships/ctrlProp" Target="../ctrlProps/ctrlProp73.xml"/><Relationship Id="rId83" Type="http://schemas.openxmlformats.org/officeDocument/2006/relationships/comments" Target="../comments1.xml"/><Relationship Id="rId1" Type="http://schemas.openxmlformats.org/officeDocument/2006/relationships/drawing" Target="../drawings/drawing1.xml"/><Relationship Id="rId6" Type="http://schemas.openxmlformats.org/officeDocument/2006/relationships/ctrlProp" Target="../ctrlProps/ctrlProp4.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49" Type="http://schemas.openxmlformats.org/officeDocument/2006/relationships/ctrlProp" Target="../ctrlProps/ctrlProp47.xml"/><Relationship Id="rId57" Type="http://schemas.openxmlformats.org/officeDocument/2006/relationships/ctrlProp" Target="../ctrlProps/ctrlProp55.xml"/><Relationship Id="rId10" Type="http://schemas.openxmlformats.org/officeDocument/2006/relationships/ctrlProp" Target="../ctrlProps/ctrlProp8.xml"/><Relationship Id="rId31" Type="http://schemas.openxmlformats.org/officeDocument/2006/relationships/ctrlProp" Target="../ctrlProps/ctrlProp29.xml"/><Relationship Id="rId44" Type="http://schemas.openxmlformats.org/officeDocument/2006/relationships/ctrlProp" Target="../ctrlProps/ctrlProp42.xml"/><Relationship Id="rId52" Type="http://schemas.openxmlformats.org/officeDocument/2006/relationships/ctrlProp" Target="../ctrlProps/ctrlProp50.xml"/><Relationship Id="rId60" Type="http://schemas.openxmlformats.org/officeDocument/2006/relationships/ctrlProp" Target="../ctrlProps/ctrlProp58.xml"/><Relationship Id="rId65" Type="http://schemas.openxmlformats.org/officeDocument/2006/relationships/ctrlProp" Target="../ctrlProps/ctrlProp63.xml"/><Relationship Id="rId73" Type="http://schemas.openxmlformats.org/officeDocument/2006/relationships/ctrlProp" Target="../ctrlProps/ctrlProp71.xml"/><Relationship Id="rId78" Type="http://schemas.openxmlformats.org/officeDocument/2006/relationships/ctrlProp" Target="../ctrlProps/ctrlProp76.xml"/><Relationship Id="rId81" Type="http://schemas.openxmlformats.org/officeDocument/2006/relationships/ctrlProp" Target="../ctrlProps/ctrlProp79.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7" Type="http://schemas.openxmlformats.org/officeDocument/2006/relationships/ctrlProp" Target="../ctrlProps/ctrlProp5.xml"/><Relationship Id="rId71" Type="http://schemas.openxmlformats.org/officeDocument/2006/relationships/ctrlProp" Target="../ctrlProps/ctrlProp69.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workbookViewId="0"/>
  </sheetViews>
  <sheetFormatPr defaultRowHeight="15" x14ac:dyDescent="0.25"/>
  <cols>
    <col min="1" max="1" width="120" customWidth="1"/>
  </cols>
  <sheetData>
    <row r="1" spans="1:1" ht="20.25" x14ac:dyDescent="0.25">
      <c r="A1" s="1" t="s">
        <v>0</v>
      </c>
    </row>
    <row r="2" spans="1:1" x14ac:dyDescent="0.25">
      <c r="A2" s="2" t="s">
        <v>1</v>
      </c>
    </row>
    <row r="3" spans="1:1" x14ac:dyDescent="0.25">
      <c r="A3" s="3"/>
    </row>
    <row r="4" spans="1:1" x14ac:dyDescent="0.25">
      <c r="A4" s="4" t="s">
        <v>2</v>
      </c>
    </row>
    <row r="5" spans="1:1" x14ac:dyDescent="0.25">
      <c r="A5" s="3" t="s">
        <v>3</v>
      </c>
    </row>
    <row r="6" spans="1:1" x14ac:dyDescent="0.25">
      <c r="A6" s="3" t="s">
        <v>4</v>
      </c>
    </row>
    <row r="7" spans="1:1" x14ac:dyDescent="0.25">
      <c r="A7" s="3" t="s">
        <v>5</v>
      </c>
    </row>
    <row r="8" spans="1:1" x14ac:dyDescent="0.25">
      <c r="A8" s="3" t="s">
        <v>6</v>
      </c>
    </row>
    <row r="9" spans="1:1" x14ac:dyDescent="0.25">
      <c r="A9" s="3"/>
    </row>
    <row r="10" spans="1:1" x14ac:dyDescent="0.25">
      <c r="A10" s="4" t="s">
        <v>7</v>
      </c>
    </row>
    <row r="11" spans="1:1" x14ac:dyDescent="0.25">
      <c r="A11" s="5" t="s">
        <v>8</v>
      </c>
    </row>
    <row r="12" spans="1:1" x14ac:dyDescent="0.25">
      <c r="A12" s="6" t="s">
        <v>9</v>
      </c>
    </row>
    <row r="13" spans="1:1" x14ac:dyDescent="0.25">
      <c r="A13" s="7" t="s">
        <v>10</v>
      </c>
    </row>
    <row r="14" spans="1:1" x14ac:dyDescent="0.25">
      <c r="A14" s="3" t="s">
        <v>11</v>
      </c>
    </row>
    <row r="15" spans="1:1" x14ac:dyDescent="0.25">
      <c r="A15" s="3"/>
    </row>
    <row r="16" spans="1:1" x14ac:dyDescent="0.25">
      <c r="A16" s="4" t="s">
        <v>12</v>
      </c>
    </row>
    <row r="17" spans="1:1" x14ac:dyDescent="0.25">
      <c r="A17" s="3" t="s">
        <v>13</v>
      </c>
    </row>
    <row r="18" spans="1:1" ht="25.5" x14ac:dyDescent="0.25">
      <c r="A18" s="3" t="s">
        <v>14</v>
      </c>
    </row>
    <row r="19" spans="1:1" x14ac:dyDescent="0.25">
      <c r="A19" s="3" t="s">
        <v>15</v>
      </c>
    </row>
    <row r="20" spans="1:1" ht="38.25" x14ac:dyDescent="0.25">
      <c r="A20" s="3" t="s">
        <v>16</v>
      </c>
    </row>
    <row r="21" spans="1:1" x14ac:dyDescent="0.25">
      <c r="A21" s="3"/>
    </row>
    <row r="22" spans="1:1" x14ac:dyDescent="0.25">
      <c r="A22" s="4" t="s">
        <v>17</v>
      </c>
    </row>
    <row r="23" spans="1:1" x14ac:dyDescent="0.25">
      <c r="A23" s="3" t="s">
        <v>1279</v>
      </c>
    </row>
    <row r="24" spans="1:1" x14ac:dyDescent="0.25">
      <c r="A24" s="40"/>
    </row>
    <row r="25" spans="1:1" x14ac:dyDescent="0.25">
      <c r="A25" s="41" t="s">
        <v>1065</v>
      </c>
    </row>
    <row r="26" spans="1:1" ht="26.25" x14ac:dyDescent="0.25">
      <c r="A26" s="40" t="s">
        <v>1066</v>
      </c>
    </row>
    <row r="27" spans="1:1" ht="26.25" x14ac:dyDescent="0.25">
      <c r="A27" s="40" t="s">
        <v>1067</v>
      </c>
    </row>
    <row r="28" spans="1:1" x14ac:dyDescent="0.25">
      <c r="A28" s="40" t="s">
        <v>1068</v>
      </c>
    </row>
    <row r="29" spans="1:1" ht="26.25" x14ac:dyDescent="0.25">
      <c r="A29" s="40" t="s">
        <v>1069</v>
      </c>
    </row>
    <row r="30" spans="1:1" x14ac:dyDescent="0.25">
      <c r="A30" s="45"/>
    </row>
    <row r="31" spans="1:1" x14ac:dyDescent="0.25">
      <c r="A31" s="54" t="s">
        <v>1102</v>
      </c>
    </row>
    <row r="32" spans="1:1" ht="26.25" x14ac:dyDescent="0.25">
      <c r="A32" s="45" t="s">
        <v>1103</v>
      </c>
    </row>
    <row r="34" spans="1:1" ht="39" x14ac:dyDescent="0.25">
      <c r="A34" s="40" t="s">
        <v>1278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7"/>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 width="70" customWidth="1"/>
    <col min="3" max="3" width="24" customWidth="1"/>
    <col min="4" max="4" width="40" customWidth="1"/>
    <col min="5" max="5" width="11" customWidth="1"/>
    <col min="6" max="6" width="8" customWidth="1"/>
    <col min="7" max="7" width="12" customWidth="1"/>
    <col min="9" max="9" width="16.7109375" customWidth="1"/>
    <col min="10" max="10" width="7.7109375" customWidth="1"/>
    <col min="11" max="11" width="16.7109375" customWidth="1"/>
    <col min="12" max="12" width="7.7109375" customWidth="1"/>
    <col min="13" max="13" width="16.7109375" customWidth="1"/>
    <col min="14" max="14" width="7.7109375" customWidth="1"/>
    <col min="15" max="15" width="16.7109375" customWidth="1"/>
    <col min="16" max="16" width="7.7109375" customWidth="1"/>
    <col min="17" max="17" width="16.7109375" customWidth="1"/>
    <col min="18" max="18" width="7.7109375" customWidth="1"/>
  </cols>
  <sheetData>
    <row r="1" spans="1:18" ht="30" customHeight="1" x14ac:dyDescent="0.25">
      <c r="A1" s="8" t="s">
        <v>18</v>
      </c>
      <c r="B1" s="8" t="s">
        <v>19</v>
      </c>
      <c r="C1" s="8" t="s">
        <v>20</v>
      </c>
      <c r="D1" s="8" t="s">
        <v>21</v>
      </c>
      <c r="E1" s="8" t="s">
        <v>22</v>
      </c>
      <c r="F1" s="8" t="s">
        <v>23</v>
      </c>
      <c r="G1" s="8" t="s">
        <v>24</v>
      </c>
      <c r="I1" s="35" t="s">
        <v>1055</v>
      </c>
      <c r="J1" s="35" t="s">
        <v>1056</v>
      </c>
      <c r="K1" s="35" t="s">
        <v>1057</v>
      </c>
      <c r="L1" s="35" t="s">
        <v>1056</v>
      </c>
      <c r="M1" s="35" t="s">
        <v>1058</v>
      </c>
      <c r="N1" s="35" t="s">
        <v>1056</v>
      </c>
      <c r="O1" s="35" t="s">
        <v>60</v>
      </c>
      <c r="P1" s="35" t="s">
        <v>1056</v>
      </c>
      <c r="Q1" s="35" t="s">
        <v>1059</v>
      </c>
      <c r="R1" s="35" t="s">
        <v>1056</v>
      </c>
    </row>
    <row r="2" spans="1:18" ht="25.5" x14ac:dyDescent="0.25">
      <c r="A2" s="9" t="s">
        <v>25</v>
      </c>
      <c r="B2" s="10" t="s">
        <v>26</v>
      </c>
      <c r="C2" s="10" t="s">
        <v>27</v>
      </c>
      <c r="D2" s="10" t="s">
        <v>28</v>
      </c>
      <c r="E2" s="11">
        <f>COUNTIF('Base Runes'!$B:$B,$A2)</f>
        <v>16</v>
      </c>
      <c r="F2" s="12">
        <f t="shared" ref="F2:F17" si="0">E2/2</f>
        <v>8</v>
      </c>
      <c r="G2" s="13" t="s">
        <v>25</v>
      </c>
      <c r="J2" s="36">
        <f>'Slider Links'!G2</f>
        <v>-0.3</v>
      </c>
      <c r="L2" s="36">
        <f>'Slider Links'!H2</f>
        <v>-0.6</v>
      </c>
      <c r="N2" s="36">
        <f>'Slider Links'!I2</f>
        <v>0.5</v>
      </c>
      <c r="P2" s="36">
        <f>'Slider Links'!J2</f>
        <v>0</v>
      </c>
      <c r="R2" s="36">
        <f>'Slider Links'!K2</f>
        <v>0.6</v>
      </c>
    </row>
    <row r="3" spans="1:18" x14ac:dyDescent="0.25">
      <c r="A3" s="9" t="s">
        <v>29</v>
      </c>
      <c r="B3" s="10" t="s">
        <v>30</v>
      </c>
      <c r="C3" s="10" t="s">
        <v>31</v>
      </c>
      <c r="D3" s="10"/>
      <c r="E3" s="11">
        <f>COUNTIF('Base Runes'!$B:$B,$A3)</f>
        <v>10</v>
      </c>
      <c r="F3" s="12">
        <f t="shared" si="0"/>
        <v>5</v>
      </c>
      <c r="G3" s="13" t="s">
        <v>29</v>
      </c>
      <c r="J3" s="36">
        <f>'Slider Links'!G3</f>
        <v>1</v>
      </c>
      <c r="L3" s="36">
        <f>'Slider Links'!H3</f>
        <v>-0.3</v>
      </c>
      <c r="N3" s="36">
        <f>'Slider Links'!I3</f>
        <v>0</v>
      </c>
      <c r="P3" s="36">
        <f>'Slider Links'!J3</f>
        <v>0.6</v>
      </c>
      <c r="R3" s="36">
        <f>'Slider Links'!K3</f>
        <v>0</v>
      </c>
    </row>
    <row r="4" spans="1:18" x14ac:dyDescent="0.25">
      <c r="A4" s="9" t="s">
        <v>32</v>
      </c>
      <c r="B4" s="10" t="s">
        <v>33</v>
      </c>
      <c r="C4" s="10" t="s">
        <v>31</v>
      </c>
      <c r="D4" s="10"/>
      <c r="E4" s="11">
        <f>COUNTIF('Base Runes'!$B:$B,$A4)</f>
        <v>10</v>
      </c>
      <c r="F4" s="12">
        <f t="shared" si="0"/>
        <v>5</v>
      </c>
      <c r="G4" s="13" t="s">
        <v>32</v>
      </c>
      <c r="J4" s="36">
        <f>'Slider Links'!G4</f>
        <v>0</v>
      </c>
      <c r="L4" s="36">
        <f>'Slider Links'!H4</f>
        <v>1</v>
      </c>
      <c r="N4" s="36">
        <f>'Slider Links'!I4</f>
        <v>0.2</v>
      </c>
      <c r="P4" s="36">
        <f>'Slider Links'!J4</f>
        <v>-0.2</v>
      </c>
      <c r="R4" s="36">
        <f>'Slider Links'!K4</f>
        <v>1</v>
      </c>
    </row>
    <row r="5" spans="1:18" x14ac:dyDescent="0.25">
      <c r="A5" s="9" t="s">
        <v>34</v>
      </c>
      <c r="B5" s="10" t="s">
        <v>35</v>
      </c>
      <c r="C5" s="10" t="s">
        <v>31</v>
      </c>
      <c r="D5" s="10"/>
      <c r="E5" s="11">
        <f>COUNTIF('Base Runes'!$B:$B,$A5)</f>
        <v>10</v>
      </c>
      <c r="F5" s="12">
        <f t="shared" si="0"/>
        <v>5</v>
      </c>
      <c r="G5" s="13" t="s">
        <v>34</v>
      </c>
      <c r="J5" s="36">
        <f>'Slider Links'!G5</f>
        <v>0</v>
      </c>
      <c r="L5" s="36">
        <f>'Slider Links'!H5</f>
        <v>-0.8</v>
      </c>
      <c r="N5" s="36">
        <f>'Slider Links'!I5</f>
        <v>0.2</v>
      </c>
      <c r="P5" s="36">
        <f>'Slider Links'!J5</f>
        <v>0</v>
      </c>
      <c r="R5" s="36">
        <f>'Slider Links'!K5</f>
        <v>0.4</v>
      </c>
    </row>
    <row r="6" spans="1:18" x14ac:dyDescent="0.25">
      <c r="A6" s="9" t="s">
        <v>36</v>
      </c>
      <c r="B6" s="10" t="s">
        <v>37</v>
      </c>
      <c r="C6" s="10" t="s">
        <v>31</v>
      </c>
      <c r="D6" s="10"/>
      <c r="E6" s="11">
        <f>COUNTIF('Base Runes'!$B:$B,$A6)</f>
        <v>10</v>
      </c>
      <c r="F6" s="12">
        <f t="shared" si="0"/>
        <v>5</v>
      </c>
      <c r="G6" s="13" t="s">
        <v>36</v>
      </c>
      <c r="J6" s="36">
        <f>'Slider Links'!G6</f>
        <v>0.6</v>
      </c>
      <c r="L6" s="36">
        <f>'Slider Links'!H6</f>
        <v>-0.5</v>
      </c>
      <c r="N6" s="36">
        <f>'Slider Links'!I6</f>
        <v>0</v>
      </c>
      <c r="P6" s="36">
        <f>'Slider Links'!J6</f>
        <v>0.7</v>
      </c>
      <c r="R6" s="36">
        <f>'Slider Links'!K6</f>
        <v>-0.1</v>
      </c>
    </row>
    <row r="7" spans="1:18" ht="25.5" x14ac:dyDescent="0.25">
      <c r="A7" s="9" t="s">
        <v>38</v>
      </c>
      <c r="B7" s="10" t="s">
        <v>39</v>
      </c>
      <c r="C7" s="10" t="s">
        <v>40</v>
      </c>
      <c r="D7" s="10" t="s">
        <v>41</v>
      </c>
      <c r="E7" s="11">
        <f>COUNTIF('Base Runes'!$B:$B,$A7)</f>
        <v>10</v>
      </c>
      <c r="F7" s="12">
        <f t="shared" si="0"/>
        <v>5</v>
      </c>
      <c r="G7" s="13" t="s">
        <v>38</v>
      </c>
      <c r="J7" s="36">
        <f>'Slider Links'!G7</f>
        <v>-1</v>
      </c>
      <c r="L7" s="36">
        <f>'Slider Links'!H7</f>
        <v>0.5</v>
      </c>
      <c r="N7" s="36">
        <f>'Slider Links'!I7</f>
        <v>-0.3</v>
      </c>
      <c r="P7" s="36">
        <f>'Slider Links'!J7</f>
        <v>0.1</v>
      </c>
      <c r="R7" s="36">
        <f>'Slider Links'!K7</f>
        <v>0.2</v>
      </c>
    </row>
    <row r="8" spans="1:18" ht="25.5" x14ac:dyDescent="0.25">
      <c r="A8" s="9" t="s">
        <v>42</v>
      </c>
      <c r="B8" s="10" t="s">
        <v>43</v>
      </c>
      <c r="C8" s="10" t="s">
        <v>40</v>
      </c>
      <c r="D8" s="10" t="s">
        <v>44</v>
      </c>
      <c r="E8" s="11">
        <f>COUNTIF('Base Runes'!$B:$B,$A8)</f>
        <v>10</v>
      </c>
      <c r="F8" s="12">
        <f t="shared" si="0"/>
        <v>5</v>
      </c>
      <c r="G8" s="13" t="s">
        <v>42</v>
      </c>
      <c r="J8" s="36">
        <f>'Slider Links'!G8</f>
        <v>-0.3</v>
      </c>
      <c r="L8" s="36">
        <f>'Slider Links'!H8</f>
        <v>-0.3</v>
      </c>
      <c r="N8" s="36">
        <f>'Slider Links'!I8</f>
        <v>-0.2</v>
      </c>
      <c r="P8" s="36">
        <f>'Slider Links'!J8</f>
        <v>-1</v>
      </c>
      <c r="R8" s="36">
        <f>'Slider Links'!K8</f>
        <v>-0.4</v>
      </c>
    </row>
    <row r="9" spans="1:18" x14ac:dyDescent="0.25">
      <c r="A9" s="9" t="s">
        <v>45</v>
      </c>
      <c r="B9" s="10" t="s">
        <v>46</v>
      </c>
      <c r="C9" s="10" t="s">
        <v>31</v>
      </c>
      <c r="D9" s="10" t="s">
        <v>47</v>
      </c>
      <c r="E9" s="11">
        <f>COUNTIF('Base Runes'!$B:$B,$A9)</f>
        <v>10</v>
      </c>
      <c r="F9" s="12">
        <f t="shared" si="0"/>
        <v>5</v>
      </c>
      <c r="G9" s="13" t="s">
        <v>45</v>
      </c>
      <c r="J9" s="36">
        <f>'Slider Links'!G9</f>
        <v>0</v>
      </c>
      <c r="L9" s="36">
        <f>'Slider Links'!H9</f>
        <v>0.8</v>
      </c>
      <c r="N9" s="36">
        <f>'Slider Links'!I9</f>
        <v>-0.3</v>
      </c>
      <c r="P9" s="36">
        <f>'Slider Links'!J9</f>
        <v>0.2</v>
      </c>
      <c r="R9" s="36">
        <f>'Slider Links'!K9</f>
        <v>1</v>
      </c>
    </row>
    <row r="10" spans="1:18" ht="25.5" x14ac:dyDescent="0.25">
      <c r="A10" s="9" t="s">
        <v>48</v>
      </c>
      <c r="B10" s="10" t="s">
        <v>49</v>
      </c>
      <c r="C10" s="10" t="s">
        <v>31</v>
      </c>
      <c r="D10" s="10" t="s">
        <v>50</v>
      </c>
      <c r="E10" s="11">
        <f>COUNTIF('Base Runes'!$B:$B,$A10)</f>
        <v>10</v>
      </c>
      <c r="F10" s="12">
        <f t="shared" si="0"/>
        <v>5</v>
      </c>
      <c r="G10" s="13" t="s">
        <v>48</v>
      </c>
      <c r="J10" s="36">
        <f>'Slider Links'!G10</f>
        <v>0.3</v>
      </c>
      <c r="L10" s="36">
        <f>'Slider Links'!H10</f>
        <v>-0.5</v>
      </c>
      <c r="N10" s="36">
        <f>'Slider Links'!I10</f>
        <v>0.6</v>
      </c>
      <c r="P10" s="36">
        <f>'Slider Links'!J10</f>
        <v>-0.2</v>
      </c>
      <c r="R10" s="36">
        <f>'Slider Links'!K10</f>
        <v>0.8</v>
      </c>
    </row>
    <row r="11" spans="1:18" ht="25.5" x14ac:dyDescent="0.25">
      <c r="A11" s="9" t="s">
        <v>51</v>
      </c>
      <c r="B11" s="10" t="s">
        <v>52</v>
      </c>
      <c r="C11" s="10" t="s">
        <v>31</v>
      </c>
      <c r="D11" s="10" t="s">
        <v>53</v>
      </c>
      <c r="E11" s="11">
        <f>COUNTIF('Base Runes'!$B:$B,$A11)</f>
        <v>10</v>
      </c>
      <c r="F11" s="12">
        <f t="shared" si="0"/>
        <v>5</v>
      </c>
      <c r="G11" s="13" t="s">
        <v>51</v>
      </c>
      <c r="J11" s="36">
        <f>'Slider Links'!G11</f>
        <v>0.3</v>
      </c>
      <c r="L11" s="36">
        <f>'Slider Links'!H11</f>
        <v>0</v>
      </c>
      <c r="N11" s="36">
        <f>'Slider Links'!I11</f>
        <v>1</v>
      </c>
      <c r="P11" s="36">
        <f>'Slider Links'!J11</f>
        <v>0.2</v>
      </c>
      <c r="R11" s="36">
        <f>'Slider Links'!K11</f>
        <v>0.4</v>
      </c>
    </row>
    <row r="12" spans="1:18" ht="25.5" x14ac:dyDescent="0.25">
      <c r="A12" s="9" t="s">
        <v>54</v>
      </c>
      <c r="B12" s="10" t="s">
        <v>55</v>
      </c>
      <c r="C12" s="10" t="s">
        <v>31</v>
      </c>
      <c r="D12" s="10" t="s">
        <v>56</v>
      </c>
      <c r="E12" s="11">
        <f>COUNTIF('Base Runes'!$B:$B,$A12)</f>
        <v>10</v>
      </c>
      <c r="F12" s="12">
        <f t="shared" si="0"/>
        <v>5</v>
      </c>
      <c r="G12" s="13" t="s">
        <v>54</v>
      </c>
      <c r="J12" s="36">
        <f>'Slider Links'!G12</f>
        <v>-0.5</v>
      </c>
      <c r="L12" s="36">
        <f>'Slider Links'!H12</f>
        <v>0.2</v>
      </c>
      <c r="N12" s="36">
        <f>'Slider Links'!I12</f>
        <v>-1</v>
      </c>
      <c r="P12" s="36">
        <f>'Slider Links'!J12</f>
        <v>-0.4</v>
      </c>
      <c r="R12" s="36">
        <f>'Slider Links'!K12</f>
        <v>0</v>
      </c>
    </row>
    <row r="13" spans="1:18" x14ac:dyDescent="0.25">
      <c r="A13" s="9" t="s">
        <v>57</v>
      </c>
      <c r="B13" s="10" t="s">
        <v>58</v>
      </c>
      <c r="C13" s="10" t="s">
        <v>31</v>
      </c>
      <c r="D13" s="10" t="s">
        <v>59</v>
      </c>
      <c r="E13" s="11">
        <f>COUNTIF('Base Runes'!$B:$B,$A13)</f>
        <v>10</v>
      </c>
      <c r="F13" s="12">
        <f t="shared" si="0"/>
        <v>5</v>
      </c>
      <c r="G13" s="13" t="s">
        <v>57</v>
      </c>
      <c r="J13" s="36">
        <f>'Slider Links'!G13</f>
        <v>0</v>
      </c>
      <c r="L13" s="36">
        <f>'Slider Links'!H13</f>
        <v>0.2</v>
      </c>
      <c r="N13" s="36">
        <f>'Slider Links'!I13</f>
        <v>1</v>
      </c>
      <c r="P13" s="36">
        <f>'Slider Links'!J13</f>
        <v>0.1</v>
      </c>
      <c r="R13" s="36">
        <f>'Slider Links'!K13</f>
        <v>0.5</v>
      </c>
    </row>
    <row r="14" spans="1:18" x14ac:dyDescent="0.25">
      <c r="A14" s="9" t="s">
        <v>60</v>
      </c>
      <c r="B14" s="10" t="s">
        <v>61</v>
      </c>
      <c r="C14" s="10" t="s">
        <v>31</v>
      </c>
      <c r="D14" s="10" t="s">
        <v>62</v>
      </c>
      <c r="E14" s="11">
        <f>COUNTIF('Base Runes'!$B:$B,$A14)</f>
        <v>10</v>
      </c>
      <c r="F14" s="12">
        <f t="shared" si="0"/>
        <v>5</v>
      </c>
      <c r="G14" s="13" t="s">
        <v>60</v>
      </c>
      <c r="J14" s="36">
        <f>'Slider Links'!G14</f>
        <v>0.4</v>
      </c>
      <c r="L14" s="36">
        <f>'Slider Links'!H14</f>
        <v>-0.4</v>
      </c>
      <c r="N14" s="36">
        <f>'Slider Links'!I14</f>
        <v>0.3</v>
      </c>
      <c r="P14" s="36">
        <f>'Slider Links'!J14</f>
        <v>1</v>
      </c>
      <c r="R14" s="36">
        <f>'Slider Links'!K14</f>
        <v>0</v>
      </c>
    </row>
    <row r="15" spans="1:18" ht="25.5" x14ac:dyDescent="0.25">
      <c r="A15" s="9" t="s">
        <v>63</v>
      </c>
      <c r="B15" s="10" t="s">
        <v>64</v>
      </c>
      <c r="C15" s="10" t="s">
        <v>31</v>
      </c>
      <c r="D15" s="10" t="s">
        <v>65</v>
      </c>
      <c r="E15" s="11">
        <f>COUNTIF('Base Runes'!$B:$B,$A15)</f>
        <v>10</v>
      </c>
      <c r="F15" s="12">
        <f t="shared" si="0"/>
        <v>5</v>
      </c>
      <c r="G15" s="13" t="s">
        <v>63</v>
      </c>
      <c r="J15" s="36">
        <f>'Slider Links'!G15</f>
        <v>0</v>
      </c>
      <c r="L15" s="36">
        <f>'Slider Links'!H15</f>
        <v>-0.6</v>
      </c>
      <c r="N15" s="36">
        <f>'Slider Links'!I15</f>
        <v>0</v>
      </c>
      <c r="P15" s="36">
        <f>'Slider Links'!J15</f>
        <v>-0.6</v>
      </c>
      <c r="R15" s="36">
        <f>'Slider Links'!K15</f>
        <v>-1</v>
      </c>
    </row>
    <row r="16" spans="1:18" x14ac:dyDescent="0.25">
      <c r="A16" s="9" t="s">
        <v>66</v>
      </c>
      <c r="B16" s="10" t="s">
        <v>67</v>
      </c>
      <c r="C16" s="10" t="s">
        <v>31</v>
      </c>
      <c r="D16" s="10" t="s">
        <v>62</v>
      </c>
      <c r="E16" s="11">
        <f>COUNTIF('Base Runes'!$B:$B,$A16)</f>
        <v>10</v>
      </c>
      <c r="F16" s="12">
        <f t="shared" si="0"/>
        <v>5</v>
      </c>
      <c r="G16" s="13" t="s">
        <v>66</v>
      </c>
      <c r="J16" s="36">
        <f>'Slider Links'!G16</f>
        <v>0</v>
      </c>
      <c r="L16" s="36">
        <f>'Slider Links'!H16</f>
        <v>-0.3</v>
      </c>
      <c r="N16" s="36">
        <f>'Slider Links'!I16</f>
        <v>-0.8</v>
      </c>
      <c r="P16" s="36">
        <f>'Slider Links'!J16</f>
        <v>-0.6</v>
      </c>
      <c r="R16" s="36">
        <f>'Slider Links'!K16</f>
        <v>0.4</v>
      </c>
    </row>
    <row r="17" spans="1:18" ht="38.25" x14ac:dyDescent="0.25">
      <c r="A17" s="9" t="s">
        <v>68</v>
      </c>
      <c r="B17" s="10" t="s">
        <v>69</v>
      </c>
      <c r="C17" s="10" t="s">
        <v>31</v>
      </c>
      <c r="D17" s="10" t="s">
        <v>70</v>
      </c>
      <c r="E17" s="11">
        <f>COUNTIF('Base Runes'!$B:$B,$A17)</f>
        <v>10</v>
      </c>
      <c r="F17" s="12">
        <f t="shared" si="0"/>
        <v>5</v>
      </c>
      <c r="G17" s="13" t="s">
        <v>68</v>
      </c>
      <c r="J17" s="36">
        <f>'Slider Links'!G17</f>
        <v>0.2</v>
      </c>
      <c r="L17" s="36">
        <f>'Slider Links'!H17</f>
        <v>-0.5</v>
      </c>
      <c r="N17" s="36">
        <f>'Slider Links'!I17</f>
        <v>-1</v>
      </c>
      <c r="P17" s="36">
        <f>'Slider Links'!J17</f>
        <v>-0.3</v>
      </c>
      <c r="R17" s="36">
        <f>'Slider Links'!K17</f>
        <v>0.3</v>
      </c>
    </row>
    <row r="18" spans="1:18" x14ac:dyDescent="0.25">
      <c r="A18" s="14" t="s">
        <v>71</v>
      </c>
      <c r="E18" s="14">
        <f>SUM(E2:E17)</f>
        <v>166</v>
      </c>
      <c r="F18" s="14">
        <f>SUM(F2:F17)</f>
        <v>83</v>
      </c>
    </row>
    <row r="20" spans="1:18" x14ac:dyDescent="0.25">
      <c r="A20" s="14" t="s">
        <v>72</v>
      </c>
    </row>
    <row r="21" spans="1:18" x14ac:dyDescent="0.25">
      <c r="A21" s="15" t="s">
        <v>73</v>
      </c>
      <c r="C21" s="15" t="s">
        <v>74</v>
      </c>
    </row>
    <row r="22" spans="1:18" x14ac:dyDescent="0.25">
      <c r="A22" s="15" t="s">
        <v>75</v>
      </c>
      <c r="C22" s="15" t="s">
        <v>74</v>
      </c>
    </row>
    <row r="23" spans="1:18" x14ac:dyDescent="0.25">
      <c r="A23" s="15" t="s">
        <v>76</v>
      </c>
      <c r="C23" s="15" t="s">
        <v>74</v>
      </c>
    </row>
    <row r="24" spans="1:18" x14ac:dyDescent="0.25">
      <c r="A24" s="15" t="s">
        <v>77</v>
      </c>
      <c r="C24" s="15" t="s">
        <v>74</v>
      </c>
    </row>
    <row r="25" spans="1:18" x14ac:dyDescent="0.25">
      <c r="A25" s="15" t="s">
        <v>78</v>
      </c>
      <c r="C25" s="15" t="s">
        <v>74</v>
      </c>
    </row>
    <row r="26" spans="1:18" x14ac:dyDescent="0.25">
      <c r="A26" s="15" t="s">
        <v>79</v>
      </c>
      <c r="C26" s="15" t="s">
        <v>74</v>
      </c>
    </row>
    <row r="27" spans="1:18" x14ac:dyDescent="0.25">
      <c r="A27" s="15" t="s">
        <v>80</v>
      </c>
      <c r="C27" s="15" t="s">
        <v>74</v>
      </c>
    </row>
  </sheetData>
  <dataValidations count="1">
    <dataValidation type="list" allowBlank="1" sqref="C2:C28" xr:uid="{00000000-0002-0000-0100-000000000000}">
      <formula1>"Deep dive v0,First pass,First pass (new 2026-10-22),Proposed,Approved,Cut"</formula1>
    </dataValidation>
  </dataValidations>
  <hyperlinks>
    <hyperlink ref="G2" location="'Water'!A1" display="Water" xr:uid="{00000000-0004-0000-0100-000000000000}"/>
    <hyperlink ref="G3" location="'Fire'!A1" display="Fire" xr:uid="{00000000-0004-0000-0100-000001000000}"/>
    <hyperlink ref="G4" location="'Earth'!A1" display="Earth" xr:uid="{00000000-0004-0000-0100-000002000000}"/>
    <hyperlink ref="G5" location="'Wind'!A1" display="Wind" xr:uid="{00000000-0004-0000-0100-000003000000}"/>
    <hyperlink ref="G6" location="'Lightning'!A1" display="Lightning" xr:uid="{00000000-0004-0000-0100-000004000000}"/>
    <hyperlink ref="G7" location="'Ice'!A1" display="Ice" xr:uid="{00000000-0004-0000-0100-000005000000}"/>
    <hyperlink ref="G8" location="'Dark'!A1" display="Dark" xr:uid="{00000000-0004-0000-0100-000006000000}"/>
    <hyperlink ref="G9" location="'Metal'!A1" display="Metal" xr:uid="{00000000-0004-0000-0100-000007000000}"/>
    <hyperlink ref="G10" location="'Blood'!A1" display="Blood" xr:uid="{00000000-0004-0000-0100-000008000000}"/>
    <hyperlink ref="G11" location="'Life'!A1" display="Life" xr:uid="{00000000-0004-0000-0100-000009000000}"/>
    <hyperlink ref="G12" location="'Death'!A1" display="Death" xr:uid="{00000000-0004-0000-0100-00000A000000}"/>
    <hyperlink ref="G13" location="'Nature'!A1" display="Nature" xr:uid="{00000000-0004-0000-0100-00000B000000}"/>
    <hyperlink ref="G14" location="'Light'!A1" display="Light" xr:uid="{00000000-0004-0000-0100-00000C000000}"/>
    <hyperlink ref="G15" location="'Dream'!A1" display="Dream" xr:uid="{00000000-0004-0000-0100-00000D000000}"/>
    <hyperlink ref="G16" location="'Poison'!A1" display="Poison" xr:uid="{00000000-0004-0000-0100-00000E000000}"/>
    <hyperlink ref="G17" location="'Disease'!A1" display="Disease" xr:uid="{00000000-0004-0000-0100-00000F000000}"/>
  </hyperlinks>
  <pageMargins left="0.75" right="0.75" top="1" bottom="1" header="0.5" footer="0.5"/>
  <drawing r:id="rId1"/>
  <legacyDrawing r:id="rId2"/>
  <mc:AlternateContent xmlns:mc="http://schemas.openxmlformats.org/markup-compatibility/2006">
    <mc:Choice Requires="x14">
      <controls>
        <mc:AlternateContent xmlns:mc="http://schemas.openxmlformats.org/markup-compatibility/2006">
          <mc:Choice Requires="x14">
            <control shapeId="2050" r:id="rId3" name="slider_Lightning_0">
              <controlPr defaultSize="0" autoPict="0">
                <anchor moveWithCells="1">
                  <from>
                    <xdr:col>8</xdr:col>
                    <xdr:colOff>28575</xdr:colOff>
                    <xdr:row>5</xdr:row>
                    <xdr:rowOff>0</xdr:rowOff>
                  </from>
                  <to>
                    <xdr:col>8</xdr:col>
                    <xdr:colOff>1095375</xdr:colOff>
                    <xdr:row>5</xdr:row>
                    <xdr:rowOff>180975</xdr:rowOff>
                  </to>
                </anchor>
              </controlPr>
            </control>
          </mc:Choice>
        </mc:AlternateContent>
        <mc:AlternateContent xmlns:mc="http://schemas.openxmlformats.org/markup-compatibility/2006">
          <mc:Choice Requires="x14">
            <control shapeId="2051" r:id="rId4" name="slider_Nature_0">
              <controlPr defaultSize="0" autoPict="0">
                <anchor moveWithCells="1">
                  <from>
                    <xdr:col>8</xdr:col>
                    <xdr:colOff>28575</xdr:colOff>
                    <xdr:row>12</xdr:row>
                    <xdr:rowOff>0</xdr:rowOff>
                  </from>
                  <to>
                    <xdr:col>8</xdr:col>
                    <xdr:colOff>1095375</xdr:colOff>
                    <xdr:row>12</xdr:row>
                    <xdr:rowOff>171450</xdr:rowOff>
                  </to>
                </anchor>
              </controlPr>
            </control>
          </mc:Choice>
        </mc:AlternateContent>
        <mc:AlternateContent xmlns:mc="http://schemas.openxmlformats.org/markup-compatibility/2006">
          <mc:Choice Requires="x14">
            <control shapeId="2052" r:id="rId5" name="slider_Blood_0">
              <controlPr defaultSize="0" autoPict="0">
                <anchor moveWithCells="1">
                  <from>
                    <xdr:col>8</xdr:col>
                    <xdr:colOff>28575</xdr:colOff>
                    <xdr:row>9</xdr:row>
                    <xdr:rowOff>66675</xdr:rowOff>
                  </from>
                  <to>
                    <xdr:col>8</xdr:col>
                    <xdr:colOff>1095375</xdr:colOff>
                    <xdr:row>9</xdr:row>
                    <xdr:rowOff>247650</xdr:rowOff>
                  </to>
                </anchor>
              </controlPr>
            </control>
          </mc:Choice>
        </mc:AlternateContent>
        <mc:AlternateContent xmlns:mc="http://schemas.openxmlformats.org/markup-compatibility/2006">
          <mc:Choice Requires="x14">
            <control shapeId="2053" r:id="rId6" name="slider_Dark_0">
              <controlPr defaultSize="0" autoPict="0">
                <anchor moveWithCells="1">
                  <from>
                    <xdr:col>8</xdr:col>
                    <xdr:colOff>28575</xdr:colOff>
                    <xdr:row>7</xdr:row>
                    <xdr:rowOff>76200</xdr:rowOff>
                  </from>
                  <to>
                    <xdr:col>8</xdr:col>
                    <xdr:colOff>1095375</xdr:colOff>
                    <xdr:row>7</xdr:row>
                    <xdr:rowOff>247650</xdr:rowOff>
                  </to>
                </anchor>
              </controlPr>
            </control>
          </mc:Choice>
        </mc:AlternateContent>
        <mc:AlternateContent xmlns:mc="http://schemas.openxmlformats.org/markup-compatibility/2006">
          <mc:Choice Requires="x14">
            <control shapeId="2054" r:id="rId7" name="slider_Water_0">
              <controlPr defaultSize="0" autoPict="0">
                <anchor moveWithCells="1">
                  <from>
                    <xdr:col>8</xdr:col>
                    <xdr:colOff>28575</xdr:colOff>
                    <xdr:row>1</xdr:row>
                    <xdr:rowOff>76200</xdr:rowOff>
                  </from>
                  <to>
                    <xdr:col>8</xdr:col>
                    <xdr:colOff>1095375</xdr:colOff>
                    <xdr:row>1</xdr:row>
                    <xdr:rowOff>247650</xdr:rowOff>
                  </to>
                </anchor>
              </controlPr>
            </control>
          </mc:Choice>
        </mc:AlternateContent>
        <mc:AlternateContent xmlns:mc="http://schemas.openxmlformats.org/markup-compatibility/2006">
          <mc:Choice Requires="x14">
            <control shapeId="2055" r:id="rId8" name="slider_Disease_0">
              <controlPr defaultSize="0" autoPict="0">
                <anchor moveWithCells="1">
                  <from>
                    <xdr:col>8</xdr:col>
                    <xdr:colOff>28575</xdr:colOff>
                    <xdr:row>16</xdr:row>
                    <xdr:rowOff>152400</xdr:rowOff>
                  </from>
                  <to>
                    <xdr:col>8</xdr:col>
                    <xdr:colOff>1095375</xdr:colOff>
                    <xdr:row>16</xdr:row>
                    <xdr:rowOff>333375</xdr:rowOff>
                  </to>
                </anchor>
              </controlPr>
            </control>
          </mc:Choice>
        </mc:AlternateContent>
        <mc:AlternateContent xmlns:mc="http://schemas.openxmlformats.org/markup-compatibility/2006">
          <mc:Choice Requires="x14">
            <control shapeId="2056" r:id="rId9" name="slider_Life_0">
              <controlPr defaultSize="0" autoPict="0">
                <anchor moveWithCells="1">
                  <from>
                    <xdr:col>8</xdr:col>
                    <xdr:colOff>28575</xdr:colOff>
                    <xdr:row>10</xdr:row>
                    <xdr:rowOff>76200</xdr:rowOff>
                  </from>
                  <to>
                    <xdr:col>8</xdr:col>
                    <xdr:colOff>1095375</xdr:colOff>
                    <xdr:row>10</xdr:row>
                    <xdr:rowOff>247650</xdr:rowOff>
                  </to>
                </anchor>
              </controlPr>
            </control>
          </mc:Choice>
        </mc:AlternateContent>
        <mc:AlternateContent xmlns:mc="http://schemas.openxmlformats.org/markup-compatibility/2006">
          <mc:Choice Requires="x14">
            <control shapeId="2057" r:id="rId10" name="slider_Metal_0">
              <controlPr defaultSize="0" autoPict="0">
                <anchor moveWithCells="1">
                  <from>
                    <xdr:col>8</xdr:col>
                    <xdr:colOff>28575</xdr:colOff>
                    <xdr:row>8</xdr:row>
                    <xdr:rowOff>0</xdr:rowOff>
                  </from>
                  <to>
                    <xdr:col>8</xdr:col>
                    <xdr:colOff>1095375</xdr:colOff>
                    <xdr:row>8</xdr:row>
                    <xdr:rowOff>180975</xdr:rowOff>
                  </to>
                </anchor>
              </controlPr>
            </control>
          </mc:Choice>
        </mc:AlternateContent>
        <mc:AlternateContent xmlns:mc="http://schemas.openxmlformats.org/markup-compatibility/2006">
          <mc:Choice Requires="x14">
            <control shapeId="2058" r:id="rId11" name="slider_Fire_0">
              <controlPr defaultSize="0" autoPict="0">
                <anchor moveWithCells="1">
                  <from>
                    <xdr:col>8</xdr:col>
                    <xdr:colOff>28575</xdr:colOff>
                    <xdr:row>2</xdr:row>
                    <xdr:rowOff>0</xdr:rowOff>
                  </from>
                  <to>
                    <xdr:col>8</xdr:col>
                    <xdr:colOff>1095375</xdr:colOff>
                    <xdr:row>2</xdr:row>
                    <xdr:rowOff>180975</xdr:rowOff>
                  </to>
                </anchor>
              </controlPr>
            </control>
          </mc:Choice>
        </mc:AlternateContent>
        <mc:AlternateContent xmlns:mc="http://schemas.openxmlformats.org/markup-compatibility/2006">
          <mc:Choice Requires="x14">
            <control shapeId="2059" r:id="rId12" name="slider_Death_0">
              <controlPr defaultSize="0" autoPict="0">
                <anchor moveWithCells="1">
                  <from>
                    <xdr:col>8</xdr:col>
                    <xdr:colOff>28575</xdr:colOff>
                    <xdr:row>11</xdr:row>
                    <xdr:rowOff>66675</xdr:rowOff>
                  </from>
                  <to>
                    <xdr:col>8</xdr:col>
                    <xdr:colOff>1095375</xdr:colOff>
                    <xdr:row>11</xdr:row>
                    <xdr:rowOff>247650</xdr:rowOff>
                  </to>
                </anchor>
              </controlPr>
            </control>
          </mc:Choice>
        </mc:AlternateContent>
        <mc:AlternateContent xmlns:mc="http://schemas.openxmlformats.org/markup-compatibility/2006">
          <mc:Choice Requires="x14">
            <control shapeId="2060" r:id="rId13" name="slider_Ice_0">
              <controlPr defaultSize="0" autoPict="0">
                <anchor moveWithCells="1">
                  <from>
                    <xdr:col>8</xdr:col>
                    <xdr:colOff>28575</xdr:colOff>
                    <xdr:row>6</xdr:row>
                    <xdr:rowOff>66675</xdr:rowOff>
                  </from>
                  <to>
                    <xdr:col>8</xdr:col>
                    <xdr:colOff>1095375</xdr:colOff>
                    <xdr:row>6</xdr:row>
                    <xdr:rowOff>247650</xdr:rowOff>
                  </to>
                </anchor>
              </controlPr>
            </control>
          </mc:Choice>
        </mc:AlternateContent>
        <mc:AlternateContent xmlns:mc="http://schemas.openxmlformats.org/markup-compatibility/2006">
          <mc:Choice Requires="x14">
            <control shapeId="2061" r:id="rId14" name="slider_Wind_0">
              <controlPr defaultSize="0" autoPict="0">
                <anchor moveWithCells="1">
                  <from>
                    <xdr:col>8</xdr:col>
                    <xdr:colOff>28575</xdr:colOff>
                    <xdr:row>4</xdr:row>
                    <xdr:rowOff>0</xdr:rowOff>
                  </from>
                  <to>
                    <xdr:col>8</xdr:col>
                    <xdr:colOff>1095375</xdr:colOff>
                    <xdr:row>4</xdr:row>
                    <xdr:rowOff>180975</xdr:rowOff>
                  </to>
                </anchor>
              </controlPr>
            </control>
          </mc:Choice>
        </mc:AlternateContent>
        <mc:AlternateContent xmlns:mc="http://schemas.openxmlformats.org/markup-compatibility/2006">
          <mc:Choice Requires="x14">
            <control shapeId="2062" r:id="rId15" name="slider_Light_0">
              <controlPr defaultSize="0" autoPict="0">
                <anchor moveWithCells="1">
                  <from>
                    <xdr:col>8</xdr:col>
                    <xdr:colOff>28575</xdr:colOff>
                    <xdr:row>13</xdr:row>
                    <xdr:rowOff>9525</xdr:rowOff>
                  </from>
                  <to>
                    <xdr:col>8</xdr:col>
                    <xdr:colOff>1095375</xdr:colOff>
                    <xdr:row>14</xdr:row>
                    <xdr:rowOff>0</xdr:rowOff>
                  </to>
                </anchor>
              </controlPr>
            </control>
          </mc:Choice>
        </mc:AlternateContent>
        <mc:AlternateContent xmlns:mc="http://schemas.openxmlformats.org/markup-compatibility/2006">
          <mc:Choice Requires="x14">
            <control shapeId="2063" r:id="rId16" name="slider_Poison_0">
              <controlPr defaultSize="0" autoPict="0">
                <anchor moveWithCells="1">
                  <from>
                    <xdr:col>8</xdr:col>
                    <xdr:colOff>28575</xdr:colOff>
                    <xdr:row>15</xdr:row>
                    <xdr:rowOff>0</xdr:rowOff>
                  </from>
                  <to>
                    <xdr:col>8</xdr:col>
                    <xdr:colOff>1095375</xdr:colOff>
                    <xdr:row>15</xdr:row>
                    <xdr:rowOff>180975</xdr:rowOff>
                  </to>
                </anchor>
              </controlPr>
            </control>
          </mc:Choice>
        </mc:AlternateContent>
        <mc:AlternateContent xmlns:mc="http://schemas.openxmlformats.org/markup-compatibility/2006">
          <mc:Choice Requires="x14">
            <control shapeId="2064" r:id="rId17" name="slider_Dream_0">
              <controlPr defaultSize="0" autoPict="0">
                <anchor moveWithCells="1">
                  <from>
                    <xdr:col>8</xdr:col>
                    <xdr:colOff>28575</xdr:colOff>
                    <xdr:row>14</xdr:row>
                    <xdr:rowOff>76200</xdr:rowOff>
                  </from>
                  <to>
                    <xdr:col>8</xdr:col>
                    <xdr:colOff>1095375</xdr:colOff>
                    <xdr:row>14</xdr:row>
                    <xdr:rowOff>247650</xdr:rowOff>
                  </to>
                </anchor>
              </controlPr>
            </control>
          </mc:Choice>
        </mc:AlternateContent>
        <mc:AlternateContent xmlns:mc="http://schemas.openxmlformats.org/markup-compatibility/2006">
          <mc:Choice Requires="x14">
            <control shapeId="2065" r:id="rId18" name="slider_Earth_0">
              <controlPr defaultSize="0" autoPict="0">
                <anchor moveWithCells="1">
                  <from>
                    <xdr:col>8</xdr:col>
                    <xdr:colOff>28575</xdr:colOff>
                    <xdr:row>3</xdr:row>
                    <xdr:rowOff>0</xdr:rowOff>
                  </from>
                  <to>
                    <xdr:col>8</xdr:col>
                    <xdr:colOff>1095375</xdr:colOff>
                    <xdr:row>3</xdr:row>
                    <xdr:rowOff>180975</xdr:rowOff>
                  </to>
                </anchor>
              </controlPr>
            </control>
          </mc:Choice>
        </mc:AlternateContent>
        <mc:AlternateContent xmlns:mc="http://schemas.openxmlformats.org/markup-compatibility/2006">
          <mc:Choice Requires="x14">
            <control shapeId="2067" r:id="rId19" name="slider_Lightning_1">
              <controlPr defaultSize="0" autoPict="0">
                <anchor moveWithCells="1">
                  <from>
                    <xdr:col>10</xdr:col>
                    <xdr:colOff>19050</xdr:colOff>
                    <xdr:row>5</xdr:row>
                    <xdr:rowOff>0</xdr:rowOff>
                  </from>
                  <to>
                    <xdr:col>10</xdr:col>
                    <xdr:colOff>1085850</xdr:colOff>
                    <xdr:row>5</xdr:row>
                    <xdr:rowOff>180975</xdr:rowOff>
                  </to>
                </anchor>
              </controlPr>
            </control>
          </mc:Choice>
        </mc:AlternateContent>
        <mc:AlternateContent xmlns:mc="http://schemas.openxmlformats.org/markup-compatibility/2006">
          <mc:Choice Requires="x14">
            <control shapeId="2068" r:id="rId20" name="slider_Nature_1">
              <controlPr defaultSize="0" autoPict="0">
                <anchor moveWithCells="1">
                  <from>
                    <xdr:col>10</xdr:col>
                    <xdr:colOff>19050</xdr:colOff>
                    <xdr:row>12</xdr:row>
                    <xdr:rowOff>0</xdr:rowOff>
                  </from>
                  <to>
                    <xdr:col>10</xdr:col>
                    <xdr:colOff>1085850</xdr:colOff>
                    <xdr:row>12</xdr:row>
                    <xdr:rowOff>171450</xdr:rowOff>
                  </to>
                </anchor>
              </controlPr>
            </control>
          </mc:Choice>
        </mc:AlternateContent>
        <mc:AlternateContent xmlns:mc="http://schemas.openxmlformats.org/markup-compatibility/2006">
          <mc:Choice Requires="x14">
            <control shapeId="2069" r:id="rId21" name="slider_Blood_1">
              <controlPr defaultSize="0" autoPict="0">
                <anchor moveWithCells="1">
                  <from>
                    <xdr:col>10</xdr:col>
                    <xdr:colOff>19050</xdr:colOff>
                    <xdr:row>9</xdr:row>
                    <xdr:rowOff>66675</xdr:rowOff>
                  </from>
                  <to>
                    <xdr:col>10</xdr:col>
                    <xdr:colOff>1085850</xdr:colOff>
                    <xdr:row>9</xdr:row>
                    <xdr:rowOff>247650</xdr:rowOff>
                  </to>
                </anchor>
              </controlPr>
            </control>
          </mc:Choice>
        </mc:AlternateContent>
        <mc:AlternateContent xmlns:mc="http://schemas.openxmlformats.org/markup-compatibility/2006">
          <mc:Choice Requires="x14">
            <control shapeId="2070" r:id="rId22" name="slider_Dark_1">
              <controlPr defaultSize="0" autoPict="0">
                <anchor moveWithCells="1">
                  <from>
                    <xdr:col>10</xdr:col>
                    <xdr:colOff>19050</xdr:colOff>
                    <xdr:row>7</xdr:row>
                    <xdr:rowOff>76200</xdr:rowOff>
                  </from>
                  <to>
                    <xdr:col>10</xdr:col>
                    <xdr:colOff>1085850</xdr:colOff>
                    <xdr:row>7</xdr:row>
                    <xdr:rowOff>247650</xdr:rowOff>
                  </to>
                </anchor>
              </controlPr>
            </control>
          </mc:Choice>
        </mc:AlternateContent>
        <mc:AlternateContent xmlns:mc="http://schemas.openxmlformats.org/markup-compatibility/2006">
          <mc:Choice Requires="x14">
            <control shapeId="2071" r:id="rId23" name="slider_Water_1">
              <controlPr defaultSize="0" autoPict="0">
                <anchor moveWithCells="1">
                  <from>
                    <xdr:col>10</xdr:col>
                    <xdr:colOff>19050</xdr:colOff>
                    <xdr:row>1</xdr:row>
                    <xdr:rowOff>76200</xdr:rowOff>
                  </from>
                  <to>
                    <xdr:col>10</xdr:col>
                    <xdr:colOff>1085850</xdr:colOff>
                    <xdr:row>1</xdr:row>
                    <xdr:rowOff>247650</xdr:rowOff>
                  </to>
                </anchor>
              </controlPr>
            </control>
          </mc:Choice>
        </mc:AlternateContent>
        <mc:AlternateContent xmlns:mc="http://schemas.openxmlformats.org/markup-compatibility/2006">
          <mc:Choice Requires="x14">
            <control shapeId="2072" r:id="rId24" name="slider_Disease_1">
              <controlPr defaultSize="0" autoPict="0">
                <anchor moveWithCells="1">
                  <from>
                    <xdr:col>10</xdr:col>
                    <xdr:colOff>19050</xdr:colOff>
                    <xdr:row>16</xdr:row>
                    <xdr:rowOff>152400</xdr:rowOff>
                  </from>
                  <to>
                    <xdr:col>10</xdr:col>
                    <xdr:colOff>1085850</xdr:colOff>
                    <xdr:row>16</xdr:row>
                    <xdr:rowOff>333375</xdr:rowOff>
                  </to>
                </anchor>
              </controlPr>
            </control>
          </mc:Choice>
        </mc:AlternateContent>
        <mc:AlternateContent xmlns:mc="http://schemas.openxmlformats.org/markup-compatibility/2006">
          <mc:Choice Requires="x14">
            <control shapeId="2073" r:id="rId25" name="slider_Life_1">
              <controlPr defaultSize="0" autoPict="0">
                <anchor moveWithCells="1">
                  <from>
                    <xdr:col>10</xdr:col>
                    <xdr:colOff>19050</xdr:colOff>
                    <xdr:row>10</xdr:row>
                    <xdr:rowOff>76200</xdr:rowOff>
                  </from>
                  <to>
                    <xdr:col>10</xdr:col>
                    <xdr:colOff>1085850</xdr:colOff>
                    <xdr:row>10</xdr:row>
                    <xdr:rowOff>247650</xdr:rowOff>
                  </to>
                </anchor>
              </controlPr>
            </control>
          </mc:Choice>
        </mc:AlternateContent>
        <mc:AlternateContent xmlns:mc="http://schemas.openxmlformats.org/markup-compatibility/2006">
          <mc:Choice Requires="x14">
            <control shapeId="2074" r:id="rId26" name="slider_Metal_1">
              <controlPr defaultSize="0" autoPict="0">
                <anchor moveWithCells="1">
                  <from>
                    <xdr:col>10</xdr:col>
                    <xdr:colOff>19050</xdr:colOff>
                    <xdr:row>8</xdr:row>
                    <xdr:rowOff>0</xdr:rowOff>
                  </from>
                  <to>
                    <xdr:col>10</xdr:col>
                    <xdr:colOff>1085850</xdr:colOff>
                    <xdr:row>8</xdr:row>
                    <xdr:rowOff>180975</xdr:rowOff>
                  </to>
                </anchor>
              </controlPr>
            </control>
          </mc:Choice>
        </mc:AlternateContent>
        <mc:AlternateContent xmlns:mc="http://schemas.openxmlformats.org/markup-compatibility/2006">
          <mc:Choice Requires="x14">
            <control shapeId="2075" r:id="rId27" name="slider_Fire_1">
              <controlPr defaultSize="0" autoPict="0">
                <anchor moveWithCells="1">
                  <from>
                    <xdr:col>10</xdr:col>
                    <xdr:colOff>19050</xdr:colOff>
                    <xdr:row>2</xdr:row>
                    <xdr:rowOff>0</xdr:rowOff>
                  </from>
                  <to>
                    <xdr:col>10</xdr:col>
                    <xdr:colOff>1085850</xdr:colOff>
                    <xdr:row>2</xdr:row>
                    <xdr:rowOff>180975</xdr:rowOff>
                  </to>
                </anchor>
              </controlPr>
            </control>
          </mc:Choice>
        </mc:AlternateContent>
        <mc:AlternateContent xmlns:mc="http://schemas.openxmlformats.org/markup-compatibility/2006">
          <mc:Choice Requires="x14">
            <control shapeId="2076" r:id="rId28" name="slider_Death_1">
              <controlPr defaultSize="0" autoPict="0">
                <anchor moveWithCells="1">
                  <from>
                    <xdr:col>10</xdr:col>
                    <xdr:colOff>19050</xdr:colOff>
                    <xdr:row>11</xdr:row>
                    <xdr:rowOff>66675</xdr:rowOff>
                  </from>
                  <to>
                    <xdr:col>10</xdr:col>
                    <xdr:colOff>1085850</xdr:colOff>
                    <xdr:row>11</xdr:row>
                    <xdr:rowOff>247650</xdr:rowOff>
                  </to>
                </anchor>
              </controlPr>
            </control>
          </mc:Choice>
        </mc:AlternateContent>
        <mc:AlternateContent xmlns:mc="http://schemas.openxmlformats.org/markup-compatibility/2006">
          <mc:Choice Requires="x14">
            <control shapeId="2077" r:id="rId29" name="slider_Ice_1">
              <controlPr defaultSize="0" autoPict="0">
                <anchor moveWithCells="1">
                  <from>
                    <xdr:col>10</xdr:col>
                    <xdr:colOff>19050</xdr:colOff>
                    <xdr:row>6</xdr:row>
                    <xdr:rowOff>66675</xdr:rowOff>
                  </from>
                  <to>
                    <xdr:col>10</xdr:col>
                    <xdr:colOff>1085850</xdr:colOff>
                    <xdr:row>6</xdr:row>
                    <xdr:rowOff>247650</xdr:rowOff>
                  </to>
                </anchor>
              </controlPr>
            </control>
          </mc:Choice>
        </mc:AlternateContent>
        <mc:AlternateContent xmlns:mc="http://schemas.openxmlformats.org/markup-compatibility/2006">
          <mc:Choice Requires="x14">
            <control shapeId="2078" r:id="rId30" name="slider_Wind_1">
              <controlPr defaultSize="0" autoPict="0">
                <anchor moveWithCells="1">
                  <from>
                    <xdr:col>10</xdr:col>
                    <xdr:colOff>19050</xdr:colOff>
                    <xdr:row>4</xdr:row>
                    <xdr:rowOff>0</xdr:rowOff>
                  </from>
                  <to>
                    <xdr:col>10</xdr:col>
                    <xdr:colOff>1085850</xdr:colOff>
                    <xdr:row>4</xdr:row>
                    <xdr:rowOff>180975</xdr:rowOff>
                  </to>
                </anchor>
              </controlPr>
            </control>
          </mc:Choice>
        </mc:AlternateContent>
        <mc:AlternateContent xmlns:mc="http://schemas.openxmlformats.org/markup-compatibility/2006">
          <mc:Choice Requires="x14">
            <control shapeId="2079" r:id="rId31" name="slider_Light_1">
              <controlPr defaultSize="0" autoPict="0">
                <anchor moveWithCells="1">
                  <from>
                    <xdr:col>10</xdr:col>
                    <xdr:colOff>19050</xdr:colOff>
                    <xdr:row>13</xdr:row>
                    <xdr:rowOff>9525</xdr:rowOff>
                  </from>
                  <to>
                    <xdr:col>10</xdr:col>
                    <xdr:colOff>1085850</xdr:colOff>
                    <xdr:row>14</xdr:row>
                    <xdr:rowOff>0</xdr:rowOff>
                  </to>
                </anchor>
              </controlPr>
            </control>
          </mc:Choice>
        </mc:AlternateContent>
        <mc:AlternateContent xmlns:mc="http://schemas.openxmlformats.org/markup-compatibility/2006">
          <mc:Choice Requires="x14">
            <control shapeId="2080" r:id="rId32" name="slider_Poison_1">
              <controlPr defaultSize="0" autoPict="0">
                <anchor moveWithCells="1">
                  <from>
                    <xdr:col>10</xdr:col>
                    <xdr:colOff>19050</xdr:colOff>
                    <xdr:row>15</xdr:row>
                    <xdr:rowOff>0</xdr:rowOff>
                  </from>
                  <to>
                    <xdr:col>10</xdr:col>
                    <xdr:colOff>1085850</xdr:colOff>
                    <xdr:row>15</xdr:row>
                    <xdr:rowOff>180975</xdr:rowOff>
                  </to>
                </anchor>
              </controlPr>
            </control>
          </mc:Choice>
        </mc:AlternateContent>
        <mc:AlternateContent xmlns:mc="http://schemas.openxmlformats.org/markup-compatibility/2006">
          <mc:Choice Requires="x14">
            <control shapeId="2081" r:id="rId33" name="slider_Dream_1">
              <controlPr defaultSize="0" autoPict="0">
                <anchor moveWithCells="1">
                  <from>
                    <xdr:col>10</xdr:col>
                    <xdr:colOff>19050</xdr:colOff>
                    <xdr:row>14</xdr:row>
                    <xdr:rowOff>76200</xdr:rowOff>
                  </from>
                  <to>
                    <xdr:col>10</xdr:col>
                    <xdr:colOff>1085850</xdr:colOff>
                    <xdr:row>14</xdr:row>
                    <xdr:rowOff>247650</xdr:rowOff>
                  </to>
                </anchor>
              </controlPr>
            </control>
          </mc:Choice>
        </mc:AlternateContent>
        <mc:AlternateContent xmlns:mc="http://schemas.openxmlformats.org/markup-compatibility/2006">
          <mc:Choice Requires="x14">
            <control shapeId="2082" r:id="rId34" name="slider_Earth_1">
              <controlPr defaultSize="0" autoPict="0">
                <anchor moveWithCells="1">
                  <from>
                    <xdr:col>10</xdr:col>
                    <xdr:colOff>19050</xdr:colOff>
                    <xdr:row>3</xdr:row>
                    <xdr:rowOff>0</xdr:rowOff>
                  </from>
                  <to>
                    <xdr:col>10</xdr:col>
                    <xdr:colOff>1085850</xdr:colOff>
                    <xdr:row>3</xdr:row>
                    <xdr:rowOff>180975</xdr:rowOff>
                  </to>
                </anchor>
              </controlPr>
            </control>
          </mc:Choice>
        </mc:AlternateContent>
        <mc:AlternateContent xmlns:mc="http://schemas.openxmlformats.org/markup-compatibility/2006">
          <mc:Choice Requires="x14">
            <control shapeId="2084" r:id="rId35" name="slider_Lightning_2">
              <controlPr defaultSize="0" autoPict="0">
                <anchor moveWithCells="1">
                  <from>
                    <xdr:col>12</xdr:col>
                    <xdr:colOff>19050</xdr:colOff>
                    <xdr:row>5</xdr:row>
                    <xdr:rowOff>0</xdr:rowOff>
                  </from>
                  <to>
                    <xdr:col>12</xdr:col>
                    <xdr:colOff>1085850</xdr:colOff>
                    <xdr:row>5</xdr:row>
                    <xdr:rowOff>180975</xdr:rowOff>
                  </to>
                </anchor>
              </controlPr>
            </control>
          </mc:Choice>
        </mc:AlternateContent>
        <mc:AlternateContent xmlns:mc="http://schemas.openxmlformats.org/markup-compatibility/2006">
          <mc:Choice Requires="x14">
            <control shapeId="2085" r:id="rId36" name="slider_Nature_2">
              <controlPr defaultSize="0" autoPict="0">
                <anchor moveWithCells="1">
                  <from>
                    <xdr:col>12</xdr:col>
                    <xdr:colOff>19050</xdr:colOff>
                    <xdr:row>12</xdr:row>
                    <xdr:rowOff>0</xdr:rowOff>
                  </from>
                  <to>
                    <xdr:col>12</xdr:col>
                    <xdr:colOff>1085850</xdr:colOff>
                    <xdr:row>12</xdr:row>
                    <xdr:rowOff>171450</xdr:rowOff>
                  </to>
                </anchor>
              </controlPr>
            </control>
          </mc:Choice>
        </mc:AlternateContent>
        <mc:AlternateContent xmlns:mc="http://schemas.openxmlformats.org/markup-compatibility/2006">
          <mc:Choice Requires="x14">
            <control shapeId="2086" r:id="rId37" name="slider_Blood_2">
              <controlPr defaultSize="0" autoPict="0">
                <anchor moveWithCells="1">
                  <from>
                    <xdr:col>12</xdr:col>
                    <xdr:colOff>19050</xdr:colOff>
                    <xdr:row>9</xdr:row>
                    <xdr:rowOff>66675</xdr:rowOff>
                  </from>
                  <to>
                    <xdr:col>12</xdr:col>
                    <xdr:colOff>1085850</xdr:colOff>
                    <xdr:row>9</xdr:row>
                    <xdr:rowOff>247650</xdr:rowOff>
                  </to>
                </anchor>
              </controlPr>
            </control>
          </mc:Choice>
        </mc:AlternateContent>
        <mc:AlternateContent xmlns:mc="http://schemas.openxmlformats.org/markup-compatibility/2006">
          <mc:Choice Requires="x14">
            <control shapeId="2087" r:id="rId38" name="slider_Dark_2">
              <controlPr defaultSize="0" autoPict="0">
                <anchor moveWithCells="1">
                  <from>
                    <xdr:col>12</xdr:col>
                    <xdr:colOff>19050</xdr:colOff>
                    <xdr:row>7</xdr:row>
                    <xdr:rowOff>76200</xdr:rowOff>
                  </from>
                  <to>
                    <xdr:col>12</xdr:col>
                    <xdr:colOff>1085850</xdr:colOff>
                    <xdr:row>7</xdr:row>
                    <xdr:rowOff>247650</xdr:rowOff>
                  </to>
                </anchor>
              </controlPr>
            </control>
          </mc:Choice>
        </mc:AlternateContent>
        <mc:AlternateContent xmlns:mc="http://schemas.openxmlformats.org/markup-compatibility/2006">
          <mc:Choice Requires="x14">
            <control shapeId="2088" r:id="rId39" name="slider_Water_2">
              <controlPr defaultSize="0" autoPict="0">
                <anchor moveWithCells="1">
                  <from>
                    <xdr:col>12</xdr:col>
                    <xdr:colOff>19050</xdr:colOff>
                    <xdr:row>1</xdr:row>
                    <xdr:rowOff>76200</xdr:rowOff>
                  </from>
                  <to>
                    <xdr:col>12</xdr:col>
                    <xdr:colOff>1085850</xdr:colOff>
                    <xdr:row>1</xdr:row>
                    <xdr:rowOff>247650</xdr:rowOff>
                  </to>
                </anchor>
              </controlPr>
            </control>
          </mc:Choice>
        </mc:AlternateContent>
        <mc:AlternateContent xmlns:mc="http://schemas.openxmlformats.org/markup-compatibility/2006">
          <mc:Choice Requires="x14">
            <control shapeId="2089" r:id="rId40" name="slider_Disease_2">
              <controlPr defaultSize="0" autoPict="0">
                <anchor moveWithCells="1">
                  <from>
                    <xdr:col>12</xdr:col>
                    <xdr:colOff>19050</xdr:colOff>
                    <xdr:row>16</xdr:row>
                    <xdr:rowOff>152400</xdr:rowOff>
                  </from>
                  <to>
                    <xdr:col>12</xdr:col>
                    <xdr:colOff>1085850</xdr:colOff>
                    <xdr:row>16</xdr:row>
                    <xdr:rowOff>333375</xdr:rowOff>
                  </to>
                </anchor>
              </controlPr>
            </control>
          </mc:Choice>
        </mc:AlternateContent>
        <mc:AlternateContent xmlns:mc="http://schemas.openxmlformats.org/markup-compatibility/2006">
          <mc:Choice Requires="x14">
            <control shapeId="2090" r:id="rId41" name="slider_Life_2">
              <controlPr defaultSize="0" autoPict="0">
                <anchor moveWithCells="1">
                  <from>
                    <xdr:col>12</xdr:col>
                    <xdr:colOff>19050</xdr:colOff>
                    <xdr:row>10</xdr:row>
                    <xdr:rowOff>76200</xdr:rowOff>
                  </from>
                  <to>
                    <xdr:col>12</xdr:col>
                    <xdr:colOff>1085850</xdr:colOff>
                    <xdr:row>10</xdr:row>
                    <xdr:rowOff>247650</xdr:rowOff>
                  </to>
                </anchor>
              </controlPr>
            </control>
          </mc:Choice>
        </mc:AlternateContent>
        <mc:AlternateContent xmlns:mc="http://schemas.openxmlformats.org/markup-compatibility/2006">
          <mc:Choice Requires="x14">
            <control shapeId="2091" r:id="rId42" name="slider_Metal_2">
              <controlPr defaultSize="0" autoPict="0">
                <anchor moveWithCells="1">
                  <from>
                    <xdr:col>12</xdr:col>
                    <xdr:colOff>19050</xdr:colOff>
                    <xdr:row>8</xdr:row>
                    <xdr:rowOff>0</xdr:rowOff>
                  </from>
                  <to>
                    <xdr:col>12</xdr:col>
                    <xdr:colOff>1085850</xdr:colOff>
                    <xdr:row>8</xdr:row>
                    <xdr:rowOff>180975</xdr:rowOff>
                  </to>
                </anchor>
              </controlPr>
            </control>
          </mc:Choice>
        </mc:AlternateContent>
        <mc:AlternateContent xmlns:mc="http://schemas.openxmlformats.org/markup-compatibility/2006">
          <mc:Choice Requires="x14">
            <control shapeId="2092" r:id="rId43" name="slider_Fire_2">
              <controlPr defaultSize="0" autoPict="0">
                <anchor moveWithCells="1">
                  <from>
                    <xdr:col>12</xdr:col>
                    <xdr:colOff>19050</xdr:colOff>
                    <xdr:row>2</xdr:row>
                    <xdr:rowOff>0</xdr:rowOff>
                  </from>
                  <to>
                    <xdr:col>12</xdr:col>
                    <xdr:colOff>1085850</xdr:colOff>
                    <xdr:row>2</xdr:row>
                    <xdr:rowOff>180975</xdr:rowOff>
                  </to>
                </anchor>
              </controlPr>
            </control>
          </mc:Choice>
        </mc:AlternateContent>
        <mc:AlternateContent xmlns:mc="http://schemas.openxmlformats.org/markup-compatibility/2006">
          <mc:Choice Requires="x14">
            <control shapeId="2093" r:id="rId44" name="slider_Death_2">
              <controlPr defaultSize="0" autoPict="0">
                <anchor moveWithCells="1">
                  <from>
                    <xdr:col>12</xdr:col>
                    <xdr:colOff>19050</xdr:colOff>
                    <xdr:row>11</xdr:row>
                    <xdr:rowOff>66675</xdr:rowOff>
                  </from>
                  <to>
                    <xdr:col>12</xdr:col>
                    <xdr:colOff>1085850</xdr:colOff>
                    <xdr:row>11</xdr:row>
                    <xdr:rowOff>247650</xdr:rowOff>
                  </to>
                </anchor>
              </controlPr>
            </control>
          </mc:Choice>
        </mc:AlternateContent>
        <mc:AlternateContent xmlns:mc="http://schemas.openxmlformats.org/markup-compatibility/2006">
          <mc:Choice Requires="x14">
            <control shapeId="2094" r:id="rId45" name="slider_Ice_2">
              <controlPr defaultSize="0" autoPict="0">
                <anchor moveWithCells="1">
                  <from>
                    <xdr:col>12</xdr:col>
                    <xdr:colOff>19050</xdr:colOff>
                    <xdr:row>6</xdr:row>
                    <xdr:rowOff>66675</xdr:rowOff>
                  </from>
                  <to>
                    <xdr:col>12</xdr:col>
                    <xdr:colOff>1085850</xdr:colOff>
                    <xdr:row>6</xdr:row>
                    <xdr:rowOff>247650</xdr:rowOff>
                  </to>
                </anchor>
              </controlPr>
            </control>
          </mc:Choice>
        </mc:AlternateContent>
        <mc:AlternateContent xmlns:mc="http://schemas.openxmlformats.org/markup-compatibility/2006">
          <mc:Choice Requires="x14">
            <control shapeId="2095" r:id="rId46" name="slider_Wind_2">
              <controlPr defaultSize="0" autoPict="0">
                <anchor moveWithCells="1">
                  <from>
                    <xdr:col>12</xdr:col>
                    <xdr:colOff>19050</xdr:colOff>
                    <xdr:row>4</xdr:row>
                    <xdr:rowOff>0</xdr:rowOff>
                  </from>
                  <to>
                    <xdr:col>12</xdr:col>
                    <xdr:colOff>1085850</xdr:colOff>
                    <xdr:row>4</xdr:row>
                    <xdr:rowOff>180975</xdr:rowOff>
                  </to>
                </anchor>
              </controlPr>
            </control>
          </mc:Choice>
        </mc:AlternateContent>
        <mc:AlternateContent xmlns:mc="http://schemas.openxmlformats.org/markup-compatibility/2006">
          <mc:Choice Requires="x14">
            <control shapeId="2096" r:id="rId47" name="slider_Light_2">
              <controlPr defaultSize="0" autoPict="0">
                <anchor moveWithCells="1">
                  <from>
                    <xdr:col>12</xdr:col>
                    <xdr:colOff>19050</xdr:colOff>
                    <xdr:row>13</xdr:row>
                    <xdr:rowOff>9525</xdr:rowOff>
                  </from>
                  <to>
                    <xdr:col>12</xdr:col>
                    <xdr:colOff>1085850</xdr:colOff>
                    <xdr:row>14</xdr:row>
                    <xdr:rowOff>0</xdr:rowOff>
                  </to>
                </anchor>
              </controlPr>
            </control>
          </mc:Choice>
        </mc:AlternateContent>
        <mc:AlternateContent xmlns:mc="http://schemas.openxmlformats.org/markup-compatibility/2006">
          <mc:Choice Requires="x14">
            <control shapeId="2097" r:id="rId48" name="slider_Poison_2">
              <controlPr defaultSize="0" autoPict="0">
                <anchor moveWithCells="1">
                  <from>
                    <xdr:col>12</xdr:col>
                    <xdr:colOff>19050</xdr:colOff>
                    <xdr:row>15</xdr:row>
                    <xdr:rowOff>0</xdr:rowOff>
                  </from>
                  <to>
                    <xdr:col>12</xdr:col>
                    <xdr:colOff>1085850</xdr:colOff>
                    <xdr:row>15</xdr:row>
                    <xdr:rowOff>180975</xdr:rowOff>
                  </to>
                </anchor>
              </controlPr>
            </control>
          </mc:Choice>
        </mc:AlternateContent>
        <mc:AlternateContent xmlns:mc="http://schemas.openxmlformats.org/markup-compatibility/2006">
          <mc:Choice Requires="x14">
            <control shapeId="2098" r:id="rId49" name="slider_Dream_2">
              <controlPr defaultSize="0" autoPict="0">
                <anchor moveWithCells="1">
                  <from>
                    <xdr:col>12</xdr:col>
                    <xdr:colOff>19050</xdr:colOff>
                    <xdr:row>14</xdr:row>
                    <xdr:rowOff>76200</xdr:rowOff>
                  </from>
                  <to>
                    <xdr:col>12</xdr:col>
                    <xdr:colOff>1085850</xdr:colOff>
                    <xdr:row>14</xdr:row>
                    <xdr:rowOff>247650</xdr:rowOff>
                  </to>
                </anchor>
              </controlPr>
            </control>
          </mc:Choice>
        </mc:AlternateContent>
        <mc:AlternateContent xmlns:mc="http://schemas.openxmlformats.org/markup-compatibility/2006">
          <mc:Choice Requires="x14">
            <control shapeId="2099" r:id="rId50" name="slider_Earth_2">
              <controlPr defaultSize="0" autoPict="0">
                <anchor moveWithCells="1">
                  <from>
                    <xdr:col>12</xdr:col>
                    <xdr:colOff>19050</xdr:colOff>
                    <xdr:row>3</xdr:row>
                    <xdr:rowOff>0</xdr:rowOff>
                  </from>
                  <to>
                    <xdr:col>12</xdr:col>
                    <xdr:colOff>1085850</xdr:colOff>
                    <xdr:row>3</xdr:row>
                    <xdr:rowOff>180975</xdr:rowOff>
                  </to>
                </anchor>
              </controlPr>
            </control>
          </mc:Choice>
        </mc:AlternateContent>
        <mc:AlternateContent xmlns:mc="http://schemas.openxmlformats.org/markup-compatibility/2006">
          <mc:Choice Requires="x14">
            <control shapeId="2101" r:id="rId51" name="slider_Lightning_3">
              <controlPr defaultSize="0" autoPict="0">
                <anchor moveWithCells="1">
                  <from>
                    <xdr:col>14</xdr:col>
                    <xdr:colOff>19050</xdr:colOff>
                    <xdr:row>5</xdr:row>
                    <xdr:rowOff>0</xdr:rowOff>
                  </from>
                  <to>
                    <xdr:col>14</xdr:col>
                    <xdr:colOff>1085850</xdr:colOff>
                    <xdr:row>5</xdr:row>
                    <xdr:rowOff>180975</xdr:rowOff>
                  </to>
                </anchor>
              </controlPr>
            </control>
          </mc:Choice>
        </mc:AlternateContent>
        <mc:AlternateContent xmlns:mc="http://schemas.openxmlformats.org/markup-compatibility/2006">
          <mc:Choice Requires="x14">
            <control shapeId="2102" r:id="rId52" name="slider_Nature_3">
              <controlPr defaultSize="0" autoPict="0">
                <anchor moveWithCells="1">
                  <from>
                    <xdr:col>14</xdr:col>
                    <xdr:colOff>19050</xdr:colOff>
                    <xdr:row>12</xdr:row>
                    <xdr:rowOff>0</xdr:rowOff>
                  </from>
                  <to>
                    <xdr:col>14</xdr:col>
                    <xdr:colOff>1085850</xdr:colOff>
                    <xdr:row>12</xdr:row>
                    <xdr:rowOff>171450</xdr:rowOff>
                  </to>
                </anchor>
              </controlPr>
            </control>
          </mc:Choice>
        </mc:AlternateContent>
        <mc:AlternateContent xmlns:mc="http://schemas.openxmlformats.org/markup-compatibility/2006">
          <mc:Choice Requires="x14">
            <control shapeId="2103" r:id="rId53" name="slider_Blood_3">
              <controlPr defaultSize="0" autoPict="0">
                <anchor moveWithCells="1">
                  <from>
                    <xdr:col>14</xdr:col>
                    <xdr:colOff>19050</xdr:colOff>
                    <xdr:row>9</xdr:row>
                    <xdr:rowOff>66675</xdr:rowOff>
                  </from>
                  <to>
                    <xdr:col>14</xdr:col>
                    <xdr:colOff>1085850</xdr:colOff>
                    <xdr:row>9</xdr:row>
                    <xdr:rowOff>247650</xdr:rowOff>
                  </to>
                </anchor>
              </controlPr>
            </control>
          </mc:Choice>
        </mc:AlternateContent>
        <mc:AlternateContent xmlns:mc="http://schemas.openxmlformats.org/markup-compatibility/2006">
          <mc:Choice Requires="x14">
            <control shapeId="2104" r:id="rId54" name="slider_Dark_3">
              <controlPr defaultSize="0" autoPict="0">
                <anchor moveWithCells="1">
                  <from>
                    <xdr:col>14</xdr:col>
                    <xdr:colOff>19050</xdr:colOff>
                    <xdr:row>7</xdr:row>
                    <xdr:rowOff>76200</xdr:rowOff>
                  </from>
                  <to>
                    <xdr:col>14</xdr:col>
                    <xdr:colOff>1085850</xdr:colOff>
                    <xdr:row>7</xdr:row>
                    <xdr:rowOff>247650</xdr:rowOff>
                  </to>
                </anchor>
              </controlPr>
            </control>
          </mc:Choice>
        </mc:AlternateContent>
        <mc:AlternateContent xmlns:mc="http://schemas.openxmlformats.org/markup-compatibility/2006">
          <mc:Choice Requires="x14">
            <control shapeId="2105" r:id="rId55" name="slider_Water_3">
              <controlPr defaultSize="0" autoPict="0">
                <anchor moveWithCells="1">
                  <from>
                    <xdr:col>14</xdr:col>
                    <xdr:colOff>19050</xdr:colOff>
                    <xdr:row>1</xdr:row>
                    <xdr:rowOff>76200</xdr:rowOff>
                  </from>
                  <to>
                    <xdr:col>14</xdr:col>
                    <xdr:colOff>1085850</xdr:colOff>
                    <xdr:row>1</xdr:row>
                    <xdr:rowOff>247650</xdr:rowOff>
                  </to>
                </anchor>
              </controlPr>
            </control>
          </mc:Choice>
        </mc:AlternateContent>
        <mc:AlternateContent xmlns:mc="http://schemas.openxmlformats.org/markup-compatibility/2006">
          <mc:Choice Requires="x14">
            <control shapeId="2106" r:id="rId56" name="slider_Disease_3">
              <controlPr defaultSize="0" autoPict="0">
                <anchor moveWithCells="1">
                  <from>
                    <xdr:col>14</xdr:col>
                    <xdr:colOff>19050</xdr:colOff>
                    <xdr:row>16</xdr:row>
                    <xdr:rowOff>152400</xdr:rowOff>
                  </from>
                  <to>
                    <xdr:col>14</xdr:col>
                    <xdr:colOff>1085850</xdr:colOff>
                    <xdr:row>16</xdr:row>
                    <xdr:rowOff>333375</xdr:rowOff>
                  </to>
                </anchor>
              </controlPr>
            </control>
          </mc:Choice>
        </mc:AlternateContent>
        <mc:AlternateContent xmlns:mc="http://schemas.openxmlformats.org/markup-compatibility/2006">
          <mc:Choice Requires="x14">
            <control shapeId="2107" r:id="rId57" name="slider_Life_3">
              <controlPr defaultSize="0" autoPict="0">
                <anchor moveWithCells="1">
                  <from>
                    <xdr:col>14</xdr:col>
                    <xdr:colOff>19050</xdr:colOff>
                    <xdr:row>10</xdr:row>
                    <xdr:rowOff>76200</xdr:rowOff>
                  </from>
                  <to>
                    <xdr:col>14</xdr:col>
                    <xdr:colOff>1085850</xdr:colOff>
                    <xdr:row>10</xdr:row>
                    <xdr:rowOff>247650</xdr:rowOff>
                  </to>
                </anchor>
              </controlPr>
            </control>
          </mc:Choice>
        </mc:AlternateContent>
        <mc:AlternateContent xmlns:mc="http://schemas.openxmlformats.org/markup-compatibility/2006">
          <mc:Choice Requires="x14">
            <control shapeId="2108" r:id="rId58" name="slider_Metal_3">
              <controlPr defaultSize="0" autoPict="0">
                <anchor moveWithCells="1">
                  <from>
                    <xdr:col>14</xdr:col>
                    <xdr:colOff>19050</xdr:colOff>
                    <xdr:row>8</xdr:row>
                    <xdr:rowOff>0</xdr:rowOff>
                  </from>
                  <to>
                    <xdr:col>14</xdr:col>
                    <xdr:colOff>1085850</xdr:colOff>
                    <xdr:row>8</xdr:row>
                    <xdr:rowOff>180975</xdr:rowOff>
                  </to>
                </anchor>
              </controlPr>
            </control>
          </mc:Choice>
        </mc:AlternateContent>
        <mc:AlternateContent xmlns:mc="http://schemas.openxmlformats.org/markup-compatibility/2006">
          <mc:Choice Requires="x14">
            <control shapeId="2109" r:id="rId59" name="slider_Fire_3">
              <controlPr defaultSize="0" autoPict="0">
                <anchor moveWithCells="1">
                  <from>
                    <xdr:col>14</xdr:col>
                    <xdr:colOff>19050</xdr:colOff>
                    <xdr:row>2</xdr:row>
                    <xdr:rowOff>0</xdr:rowOff>
                  </from>
                  <to>
                    <xdr:col>14</xdr:col>
                    <xdr:colOff>1085850</xdr:colOff>
                    <xdr:row>2</xdr:row>
                    <xdr:rowOff>180975</xdr:rowOff>
                  </to>
                </anchor>
              </controlPr>
            </control>
          </mc:Choice>
        </mc:AlternateContent>
        <mc:AlternateContent xmlns:mc="http://schemas.openxmlformats.org/markup-compatibility/2006">
          <mc:Choice Requires="x14">
            <control shapeId="2110" r:id="rId60" name="slider_Death_3">
              <controlPr defaultSize="0" autoPict="0">
                <anchor moveWithCells="1">
                  <from>
                    <xdr:col>14</xdr:col>
                    <xdr:colOff>19050</xdr:colOff>
                    <xdr:row>11</xdr:row>
                    <xdr:rowOff>66675</xdr:rowOff>
                  </from>
                  <to>
                    <xdr:col>14</xdr:col>
                    <xdr:colOff>1085850</xdr:colOff>
                    <xdr:row>11</xdr:row>
                    <xdr:rowOff>247650</xdr:rowOff>
                  </to>
                </anchor>
              </controlPr>
            </control>
          </mc:Choice>
        </mc:AlternateContent>
        <mc:AlternateContent xmlns:mc="http://schemas.openxmlformats.org/markup-compatibility/2006">
          <mc:Choice Requires="x14">
            <control shapeId="2111" r:id="rId61" name="slider_Ice_3">
              <controlPr defaultSize="0" autoPict="0">
                <anchor moveWithCells="1">
                  <from>
                    <xdr:col>14</xdr:col>
                    <xdr:colOff>19050</xdr:colOff>
                    <xdr:row>6</xdr:row>
                    <xdr:rowOff>66675</xdr:rowOff>
                  </from>
                  <to>
                    <xdr:col>14</xdr:col>
                    <xdr:colOff>1085850</xdr:colOff>
                    <xdr:row>6</xdr:row>
                    <xdr:rowOff>247650</xdr:rowOff>
                  </to>
                </anchor>
              </controlPr>
            </control>
          </mc:Choice>
        </mc:AlternateContent>
        <mc:AlternateContent xmlns:mc="http://schemas.openxmlformats.org/markup-compatibility/2006">
          <mc:Choice Requires="x14">
            <control shapeId="2112" r:id="rId62" name="slider_Wind_3">
              <controlPr defaultSize="0" autoPict="0">
                <anchor moveWithCells="1">
                  <from>
                    <xdr:col>14</xdr:col>
                    <xdr:colOff>19050</xdr:colOff>
                    <xdr:row>4</xdr:row>
                    <xdr:rowOff>0</xdr:rowOff>
                  </from>
                  <to>
                    <xdr:col>14</xdr:col>
                    <xdr:colOff>1085850</xdr:colOff>
                    <xdr:row>4</xdr:row>
                    <xdr:rowOff>180975</xdr:rowOff>
                  </to>
                </anchor>
              </controlPr>
            </control>
          </mc:Choice>
        </mc:AlternateContent>
        <mc:AlternateContent xmlns:mc="http://schemas.openxmlformats.org/markup-compatibility/2006">
          <mc:Choice Requires="x14">
            <control shapeId="2113" r:id="rId63" name="slider_Light_3">
              <controlPr defaultSize="0" autoPict="0">
                <anchor moveWithCells="1">
                  <from>
                    <xdr:col>14</xdr:col>
                    <xdr:colOff>19050</xdr:colOff>
                    <xdr:row>13</xdr:row>
                    <xdr:rowOff>9525</xdr:rowOff>
                  </from>
                  <to>
                    <xdr:col>14</xdr:col>
                    <xdr:colOff>1085850</xdr:colOff>
                    <xdr:row>14</xdr:row>
                    <xdr:rowOff>0</xdr:rowOff>
                  </to>
                </anchor>
              </controlPr>
            </control>
          </mc:Choice>
        </mc:AlternateContent>
        <mc:AlternateContent xmlns:mc="http://schemas.openxmlformats.org/markup-compatibility/2006">
          <mc:Choice Requires="x14">
            <control shapeId="2114" r:id="rId64" name="slider_Poison_3">
              <controlPr defaultSize="0" autoPict="0">
                <anchor moveWithCells="1">
                  <from>
                    <xdr:col>14</xdr:col>
                    <xdr:colOff>19050</xdr:colOff>
                    <xdr:row>15</xdr:row>
                    <xdr:rowOff>0</xdr:rowOff>
                  </from>
                  <to>
                    <xdr:col>14</xdr:col>
                    <xdr:colOff>1085850</xdr:colOff>
                    <xdr:row>15</xdr:row>
                    <xdr:rowOff>180975</xdr:rowOff>
                  </to>
                </anchor>
              </controlPr>
            </control>
          </mc:Choice>
        </mc:AlternateContent>
        <mc:AlternateContent xmlns:mc="http://schemas.openxmlformats.org/markup-compatibility/2006">
          <mc:Choice Requires="x14">
            <control shapeId="2115" r:id="rId65" name="slider_Dream_3">
              <controlPr defaultSize="0" autoPict="0">
                <anchor moveWithCells="1">
                  <from>
                    <xdr:col>14</xdr:col>
                    <xdr:colOff>19050</xdr:colOff>
                    <xdr:row>14</xdr:row>
                    <xdr:rowOff>76200</xdr:rowOff>
                  </from>
                  <to>
                    <xdr:col>14</xdr:col>
                    <xdr:colOff>1085850</xdr:colOff>
                    <xdr:row>14</xdr:row>
                    <xdr:rowOff>247650</xdr:rowOff>
                  </to>
                </anchor>
              </controlPr>
            </control>
          </mc:Choice>
        </mc:AlternateContent>
        <mc:AlternateContent xmlns:mc="http://schemas.openxmlformats.org/markup-compatibility/2006">
          <mc:Choice Requires="x14">
            <control shapeId="2116" r:id="rId66" name="slider_Earth_3">
              <controlPr defaultSize="0" autoPict="0">
                <anchor moveWithCells="1">
                  <from>
                    <xdr:col>14</xdr:col>
                    <xdr:colOff>19050</xdr:colOff>
                    <xdr:row>3</xdr:row>
                    <xdr:rowOff>0</xdr:rowOff>
                  </from>
                  <to>
                    <xdr:col>14</xdr:col>
                    <xdr:colOff>1085850</xdr:colOff>
                    <xdr:row>3</xdr:row>
                    <xdr:rowOff>180975</xdr:rowOff>
                  </to>
                </anchor>
              </controlPr>
            </control>
          </mc:Choice>
        </mc:AlternateContent>
        <mc:AlternateContent xmlns:mc="http://schemas.openxmlformats.org/markup-compatibility/2006">
          <mc:Choice Requires="x14">
            <control shapeId="2118" r:id="rId67" name="slider_Lightning_4">
              <controlPr defaultSize="0" autoPict="0">
                <anchor moveWithCells="1">
                  <from>
                    <xdr:col>16</xdr:col>
                    <xdr:colOff>28575</xdr:colOff>
                    <xdr:row>5</xdr:row>
                    <xdr:rowOff>0</xdr:rowOff>
                  </from>
                  <to>
                    <xdr:col>16</xdr:col>
                    <xdr:colOff>1095375</xdr:colOff>
                    <xdr:row>5</xdr:row>
                    <xdr:rowOff>180975</xdr:rowOff>
                  </to>
                </anchor>
              </controlPr>
            </control>
          </mc:Choice>
        </mc:AlternateContent>
        <mc:AlternateContent xmlns:mc="http://schemas.openxmlformats.org/markup-compatibility/2006">
          <mc:Choice Requires="x14">
            <control shapeId="2119" r:id="rId68" name="slider_Nature_4">
              <controlPr defaultSize="0" autoPict="0">
                <anchor moveWithCells="1">
                  <from>
                    <xdr:col>16</xdr:col>
                    <xdr:colOff>28575</xdr:colOff>
                    <xdr:row>12</xdr:row>
                    <xdr:rowOff>0</xdr:rowOff>
                  </from>
                  <to>
                    <xdr:col>16</xdr:col>
                    <xdr:colOff>1095375</xdr:colOff>
                    <xdr:row>12</xdr:row>
                    <xdr:rowOff>171450</xdr:rowOff>
                  </to>
                </anchor>
              </controlPr>
            </control>
          </mc:Choice>
        </mc:AlternateContent>
        <mc:AlternateContent xmlns:mc="http://schemas.openxmlformats.org/markup-compatibility/2006">
          <mc:Choice Requires="x14">
            <control shapeId="2120" r:id="rId69" name="slider_Blood_4">
              <controlPr defaultSize="0" autoPict="0">
                <anchor moveWithCells="1">
                  <from>
                    <xdr:col>16</xdr:col>
                    <xdr:colOff>28575</xdr:colOff>
                    <xdr:row>9</xdr:row>
                    <xdr:rowOff>66675</xdr:rowOff>
                  </from>
                  <to>
                    <xdr:col>16</xdr:col>
                    <xdr:colOff>1095375</xdr:colOff>
                    <xdr:row>9</xdr:row>
                    <xdr:rowOff>247650</xdr:rowOff>
                  </to>
                </anchor>
              </controlPr>
            </control>
          </mc:Choice>
        </mc:AlternateContent>
        <mc:AlternateContent xmlns:mc="http://schemas.openxmlformats.org/markup-compatibility/2006">
          <mc:Choice Requires="x14">
            <control shapeId="2121" r:id="rId70" name="slider_Dark_4">
              <controlPr defaultSize="0" autoPict="0">
                <anchor moveWithCells="1">
                  <from>
                    <xdr:col>16</xdr:col>
                    <xdr:colOff>28575</xdr:colOff>
                    <xdr:row>7</xdr:row>
                    <xdr:rowOff>76200</xdr:rowOff>
                  </from>
                  <to>
                    <xdr:col>16</xdr:col>
                    <xdr:colOff>1095375</xdr:colOff>
                    <xdr:row>7</xdr:row>
                    <xdr:rowOff>247650</xdr:rowOff>
                  </to>
                </anchor>
              </controlPr>
            </control>
          </mc:Choice>
        </mc:AlternateContent>
        <mc:AlternateContent xmlns:mc="http://schemas.openxmlformats.org/markup-compatibility/2006">
          <mc:Choice Requires="x14">
            <control shapeId="2122" r:id="rId71" name="slider_Water_4">
              <controlPr defaultSize="0" autoPict="0">
                <anchor moveWithCells="1">
                  <from>
                    <xdr:col>16</xdr:col>
                    <xdr:colOff>28575</xdr:colOff>
                    <xdr:row>1</xdr:row>
                    <xdr:rowOff>76200</xdr:rowOff>
                  </from>
                  <to>
                    <xdr:col>16</xdr:col>
                    <xdr:colOff>1095375</xdr:colOff>
                    <xdr:row>1</xdr:row>
                    <xdr:rowOff>247650</xdr:rowOff>
                  </to>
                </anchor>
              </controlPr>
            </control>
          </mc:Choice>
        </mc:AlternateContent>
        <mc:AlternateContent xmlns:mc="http://schemas.openxmlformats.org/markup-compatibility/2006">
          <mc:Choice Requires="x14">
            <control shapeId="2123" r:id="rId72" name="slider_Disease_4">
              <controlPr defaultSize="0" autoPict="0">
                <anchor moveWithCells="1">
                  <from>
                    <xdr:col>16</xdr:col>
                    <xdr:colOff>28575</xdr:colOff>
                    <xdr:row>16</xdr:row>
                    <xdr:rowOff>152400</xdr:rowOff>
                  </from>
                  <to>
                    <xdr:col>16</xdr:col>
                    <xdr:colOff>1095375</xdr:colOff>
                    <xdr:row>16</xdr:row>
                    <xdr:rowOff>333375</xdr:rowOff>
                  </to>
                </anchor>
              </controlPr>
            </control>
          </mc:Choice>
        </mc:AlternateContent>
        <mc:AlternateContent xmlns:mc="http://schemas.openxmlformats.org/markup-compatibility/2006">
          <mc:Choice Requires="x14">
            <control shapeId="2124" r:id="rId73" name="slider_Life_4">
              <controlPr defaultSize="0" autoPict="0">
                <anchor moveWithCells="1">
                  <from>
                    <xdr:col>16</xdr:col>
                    <xdr:colOff>28575</xdr:colOff>
                    <xdr:row>10</xdr:row>
                    <xdr:rowOff>76200</xdr:rowOff>
                  </from>
                  <to>
                    <xdr:col>16</xdr:col>
                    <xdr:colOff>1095375</xdr:colOff>
                    <xdr:row>10</xdr:row>
                    <xdr:rowOff>247650</xdr:rowOff>
                  </to>
                </anchor>
              </controlPr>
            </control>
          </mc:Choice>
        </mc:AlternateContent>
        <mc:AlternateContent xmlns:mc="http://schemas.openxmlformats.org/markup-compatibility/2006">
          <mc:Choice Requires="x14">
            <control shapeId="2125" r:id="rId74" name="slider_Metal_4">
              <controlPr defaultSize="0" autoPict="0">
                <anchor moveWithCells="1">
                  <from>
                    <xdr:col>16</xdr:col>
                    <xdr:colOff>28575</xdr:colOff>
                    <xdr:row>8</xdr:row>
                    <xdr:rowOff>0</xdr:rowOff>
                  </from>
                  <to>
                    <xdr:col>16</xdr:col>
                    <xdr:colOff>1095375</xdr:colOff>
                    <xdr:row>8</xdr:row>
                    <xdr:rowOff>180975</xdr:rowOff>
                  </to>
                </anchor>
              </controlPr>
            </control>
          </mc:Choice>
        </mc:AlternateContent>
        <mc:AlternateContent xmlns:mc="http://schemas.openxmlformats.org/markup-compatibility/2006">
          <mc:Choice Requires="x14">
            <control shapeId="2126" r:id="rId75" name="slider_Fire_4">
              <controlPr defaultSize="0" autoPict="0">
                <anchor moveWithCells="1">
                  <from>
                    <xdr:col>16</xdr:col>
                    <xdr:colOff>28575</xdr:colOff>
                    <xdr:row>2</xdr:row>
                    <xdr:rowOff>0</xdr:rowOff>
                  </from>
                  <to>
                    <xdr:col>16</xdr:col>
                    <xdr:colOff>1095375</xdr:colOff>
                    <xdr:row>2</xdr:row>
                    <xdr:rowOff>180975</xdr:rowOff>
                  </to>
                </anchor>
              </controlPr>
            </control>
          </mc:Choice>
        </mc:AlternateContent>
        <mc:AlternateContent xmlns:mc="http://schemas.openxmlformats.org/markup-compatibility/2006">
          <mc:Choice Requires="x14">
            <control shapeId="2127" r:id="rId76" name="slider_Death_4">
              <controlPr defaultSize="0" autoPict="0">
                <anchor moveWithCells="1">
                  <from>
                    <xdr:col>16</xdr:col>
                    <xdr:colOff>28575</xdr:colOff>
                    <xdr:row>11</xdr:row>
                    <xdr:rowOff>66675</xdr:rowOff>
                  </from>
                  <to>
                    <xdr:col>16</xdr:col>
                    <xdr:colOff>1095375</xdr:colOff>
                    <xdr:row>11</xdr:row>
                    <xdr:rowOff>247650</xdr:rowOff>
                  </to>
                </anchor>
              </controlPr>
            </control>
          </mc:Choice>
        </mc:AlternateContent>
        <mc:AlternateContent xmlns:mc="http://schemas.openxmlformats.org/markup-compatibility/2006">
          <mc:Choice Requires="x14">
            <control shapeId="2128" r:id="rId77" name="slider_Ice_4">
              <controlPr defaultSize="0" autoPict="0">
                <anchor moveWithCells="1">
                  <from>
                    <xdr:col>16</xdr:col>
                    <xdr:colOff>28575</xdr:colOff>
                    <xdr:row>6</xdr:row>
                    <xdr:rowOff>66675</xdr:rowOff>
                  </from>
                  <to>
                    <xdr:col>16</xdr:col>
                    <xdr:colOff>1095375</xdr:colOff>
                    <xdr:row>6</xdr:row>
                    <xdr:rowOff>247650</xdr:rowOff>
                  </to>
                </anchor>
              </controlPr>
            </control>
          </mc:Choice>
        </mc:AlternateContent>
        <mc:AlternateContent xmlns:mc="http://schemas.openxmlformats.org/markup-compatibility/2006">
          <mc:Choice Requires="x14">
            <control shapeId="2129" r:id="rId78" name="slider_Wind_4">
              <controlPr defaultSize="0" autoPict="0">
                <anchor moveWithCells="1">
                  <from>
                    <xdr:col>16</xdr:col>
                    <xdr:colOff>28575</xdr:colOff>
                    <xdr:row>4</xdr:row>
                    <xdr:rowOff>0</xdr:rowOff>
                  </from>
                  <to>
                    <xdr:col>16</xdr:col>
                    <xdr:colOff>1095375</xdr:colOff>
                    <xdr:row>4</xdr:row>
                    <xdr:rowOff>180975</xdr:rowOff>
                  </to>
                </anchor>
              </controlPr>
            </control>
          </mc:Choice>
        </mc:AlternateContent>
        <mc:AlternateContent xmlns:mc="http://schemas.openxmlformats.org/markup-compatibility/2006">
          <mc:Choice Requires="x14">
            <control shapeId="2130" r:id="rId79" name="slider_Light_4">
              <controlPr defaultSize="0" autoPict="0">
                <anchor moveWithCells="1">
                  <from>
                    <xdr:col>16</xdr:col>
                    <xdr:colOff>28575</xdr:colOff>
                    <xdr:row>13</xdr:row>
                    <xdr:rowOff>9525</xdr:rowOff>
                  </from>
                  <to>
                    <xdr:col>16</xdr:col>
                    <xdr:colOff>1095375</xdr:colOff>
                    <xdr:row>14</xdr:row>
                    <xdr:rowOff>0</xdr:rowOff>
                  </to>
                </anchor>
              </controlPr>
            </control>
          </mc:Choice>
        </mc:AlternateContent>
        <mc:AlternateContent xmlns:mc="http://schemas.openxmlformats.org/markup-compatibility/2006">
          <mc:Choice Requires="x14">
            <control shapeId="2131" r:id="rId80" name="slider_Poison_4">
              <controlPr defaultSize="0" autoPict="0">
                <anchor moveWithCells="1">
                  <from>
                    <xdr:col>16</xdr:col>
                    <xdr:colOff>28575</xdr:colOff>
                    <xdr:row>15</xdr:row>
                    <xdr:rowOff>0</xdr:rowOff>
                  </from>
                  <to>
                    <xdr:col>16</xdr:col>
                    <xdr:colOff>1095375</xdr:colOff>
                    <xdr:row>15</xdr:row>
                    <xdr:rowOff>180975</xdr:rowOff>
                  </to>
                </anchor>
              </controlPr>
            </control>
          </mc:Choice>
        </mc:AlternateContent>
        <mc:AlternateContent xmlns:mc="http://schemas.openxmlformats.org/markup-compatibility/2006">
          <mc:Choice Requires="x14">
            <control shapeId="2132" r:id="rId81" name="slider_Dream_4">
              <controlPr defaultSize="0" autoPict="0">
                <anchor moveWithCells="1">
                  <from>
                    <xdr:col>16</xdr:col>
                    <xdr:colOff>28575</xdr:colOff>
                    <xdr:row>14</xdr:row>
                    <xdr:rowOff>76200</xdr:rowOff>
                  </from>
                  <to>
                    <xdr:col>16</xdr:col>
                    <xdr:colOff>1095375</xdr:colOff>
                    <xdr:row>14</xdr:row>
                    <xdr:rowOff>247650</xdr:rowOff>
                  </to>
                </anchor>
              </controlPr>
            </control>
          </mc:Choice>
        </mc:AlternateContent>
        <mc:AlternateContent xmlns:mc="http://schemas.openxmlformats.org/markup-compatibility/2006">
          <mc:Choice Requires="x14">
            <control shapeId="2133" r:id="rId82" name="slider_Earth_4">
              <controlPr defaultSize="0" autoPict="0">
                <anchor moveWithCells="1">
                  <from>
                    <xdr:col>16</xdr:col>
                    <xdr:colOff>28575</xdr:colOff>
                    <xdr:row>3</xdr:row>
                    <xdr:rowOff>0</xdr:rowOff>
                  </from>
                  <to>
                    <xdr:col>16</xdr:col>
                    <xdr:colOff>1095375</xdr:colOff>
                    <xdr:row>3</xdr:row>
                    <xdr:rowOff>180975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7AAEE-E82A-4A38-A08A-AC51258323DF}">
  <dimension ref="A1:Q24"/>
  <sheetViews>
    <sheetView workbookViewId="0">
      <pane xSplit="1" ySplit="1" topLeftCell="B2" activePane="bottomRight" state="frozenSplit"/>
      <selection pane="topRight" activeCell="B1" sqref="B1"/>
      <selection pane="bottomLeft" activeCell="A2" sqref="A2"/>
      <selection pane="bottomRight"/>
    </sheetView>
  </sheetViews>
  <sheetFormatPr defaultRowHeight="12.75" x14ac:dyDescent="0.2"/>
  <cols>
    <col min="1" max="1" width="17.7109375" style="31" customWidth="1"/>
    <col min="2" max="17" width="6.28515625" style="31" customWidth="1"/>
    <col min="18" max="16384" width="9.140625" style="31"/>
  </cols>
  <sheetData>
    <row r="1" spans="1:17" ht="50.25" x14ac:dyDescent="0.2">
      <c r="A1" s="32"/>
      <c r="B1" s="42" t="str">
        <f>'Slider Links'!A2</f>
        <v>Water</v>
      </c>
      <c r="C1" s="38" t="str">
        <f>'Slider Links'!A3</f>
        <v>Fire</v>
      </c>
      <c r="D1" s="38" t="str">
        <f>'Slider Links'!A4</f>
        <v>Earth</v>
      </c>
      <c r="E1" s="38" t="str">
        <f>'Slider Links'!A5</f>
        <v>Wind</v>
      </c>
      <c r="F1" s="38" t="str">
        <f>'Slider Links'!A6</f>
        <v>Lightning</v>
      </c>
      <c r="G1" s="38" t="str">
        <f>'Slider Links'!A7</f>
        <v>Ice</v>
      </c>
      <c r="H1" s="38" t="str">
        <f>'Slider Links'!A8</f>
        <v>Dark</v>
      </c>
      <c r="I1" s="38" t="str">
        <f>'Slider Links'!A9</f>
        <v>Metal</v>
      </c>
      <c r="J1" s="38" t="str">
        <f>'Slider Links'!A10</f>
        <v>Blood</v>
      </c>
      <c r="K1" s="38" t="str">
        <f>'Slider Links'!A11</f>
        <v>Life</v>
      </c>
      <c r="L1" s="38" t="str">
        <f>'Slider Links'!A12</f>
        <v>Death</v>
      </c>
      <c r="M1" s="38" t="str">
        <f>'Slider Links'!A13</f>
        <v>Nature</v>
      </c>
      <c r="N1" s="38" t="str">
        <f>'Slider Links'!A14</f>
        <v>Light</v>
      </c>
      <c r="O1" s="38" t="str">
        <f>'Slider Links'!A15</f>
        <v>Dream</v>
      </c>
      <c r="P1" s="38" t="str">
        <f>'Slider Links'!A16</f>
        <v>Poison</v>
      </c>
      <c r="Q1" s="38" t="str">
        <f>'Slider Links'!A17</f>
        <v>Disease</v>
      </c>
    </row>
    <row r="2" spans="1:17" x14ac:dyDescent="0.2">
      <c r="A2" s="32" t="str">
        <f>'Slider Links'!A2</f>
        <v>Water</v>
      </c>
      <c r="B2" s="37">
        <f>IFERROR(SUMPRODUCT('Slider Links'!$G$2:$K$2,'Slider Links'!$G$2:$K$2)/SQRT(SUMSQ('Slider Links'!$G$2:$K$2)*SUMSQ('Slider Links'!$G$2:$K$2)),0)</f>
        <v>1</v>
      </c>
      <c r="C2" s="37">
        <f>IFERROR(SUMPRODUCT('Slider Links'!$G$2:$K$2,'Slider Links'!$G$3:$K$3)/SQRT(SUMSQ('Slider Links'!$G$2:$K$2)*SUMSQ('Slider Links'!$G$3:$K$3)),0)</f>
        <v>-9.6793080617535152E-2</v>
      </c>
      <c r="D2" s="37">
        <f>IFERROR(SUMPRODUCT('Slider Links'!$G$2:$K$2,'Slider Links'!$G$4:$K$4)/SQRT(SUMSQ('Slider Links'!$G$2:$K$2)*SUMSQ('Slider Links'!$G$4:$K$4)),0)</f>
        <v>6.7346557305045657E-2</v>
      </c>
      <c r="E2" s="37">
        <f>IFERROR(SUMPRODUCT('Slider Links'!$G$2:$K$2,'Slider Links'!$G$5:$K$5)/SQRT(SUMSQ('Slider Links'!$G$2:$K$2)*SUMSQ('Slider Links'!$G$5:$K$5)),0)</f>
        <v>0.8690030019685594</v>
      </c>
      <c r="F2" s="37">
        <f>IFERROR(SUMPRODUCT('Slider Links'!$G$2:$K$2,'Slider Links'!$G$6:$K$6)/SQRT(SUMSQ('Slider Links'!$G$2:$K$2)*SUMSQ('Slider Links'!$G$6:$K$6)),0)</f>
        <v>5.5314224545065502E-2</v>
      </c>
      <c r="G2" s="37">
        <f>IFERROR(SUMPRODUCT('Slider Links'!$G$2:$K$2,'Slider Links'!$G$7:$K$7)/SQRT(SUMSQ('Slider Links'!$G$2:$K$2)*SUMSQ('Slider Links'!$G$7:$K$7)),0)</f>
        <v>-2.4715017480182858E-2</v>
      </c>
      <c r="H2" s="37">
        <f>IFERROR(SUMPRODUCT('Slider Links'!$G$2:$K$2,'Slider Links'!$G$8:$K$8)/SQRT(SUMSQ('Slider Links'!$G$2:$K$2)*SUMSQ('Slider Links'!$G$8:$K$8)),0)</f>
        <v>-5.7876940349568473E-2</v>
      </c>
      <c r="I2" s="37">
        <f>IFERROR(SUMPRODUCT('Slider Links'!$G$2:$K$2,'Slider Links'!$G$9:$K$9)/SQRT(SUMSQ('Slider Links'!$G$2:$K$2)*SUMSQ('Slider Links'!$G$9:$K$9)),0)</f>
        <v>-2.1901894814884217E-2</v>
      </c>
      <c r="J2" s="37">
        <f>IFERROR(SUMPRODUCT('Slider Links'!$G$2:$K$2,'Slider Links'!$G$10:$K$10)/SQRT(SUMSQ('Slider Links'!$G$2:$K$2)*SUMSQ('Slider Links'!$G$10:$K$10)),0)</f>
        <v>0.81854529922961139</v>
      </c>
      <c r="K2" s="37">
        <f>IFERROR(SUMPRODUCT('Slider Links'!$G$2:$K$2,'Slider Links'!$G$11:$K$11)/SQRT(SUMSQ('Slider Links'!$G$2:$K$2)*SUMSQ('Slider Links'!$G$11:$K$11)),0)</f>
        <v>0.55586018657891689</v>
      </c>
      <c r="L2" s="37">
        <f>IFERROR(SUMPRODUCT('Slider Links'!$G$2:$K$2,'Slider Links'!$G$12:$K$12)/SQRT(SUMSQ('Slider Links'!$G$2:$K$2)*SUMSQ('Slider Links'!$G$12:$K$12)),0)</f>
        <v>-0.37910623241867936</v>
      </c>
      <c r="M2" s="37">
        <f>IFERROR(SUMPRODUCT('Slider Links'!$G$2:$K$2,'Slider Links'!$G$13:$K$13)/SQRT(SUMSQ('Slider Links'!$G$2:$K$2)*SUMSQ('Slider Links'!$G$13:$K$13)),0)</f>
        <v>0.57927435714158759</v>
      </c>
      <c r="N2" s="37">
        <f>IFERROR(SUMPRODUCT('Slider Links'!$G$2:$K$2,'Slider Links'!$G$14:$K$14)/SQRT(SUMSQ('Slider Links'!$G$2:$K$2)*SUMSQ('Slider Links'!$G$14:$K$14)),0)</f>
        <v>0.22085196882000854</v>
      </c>
      <c r="O2" s="37">
        <f>IFERROR(SUMPRODUCT('Slider Links'!$G$2:$K$2,'Slider Links'!$G$15:$K$15)/SQRT(SUMSQ('Slider Links'!$G$2:$K$2)*SUMSQ('Slider Links'!$G$15:$K$15)),0)</f>
        <v>-0.17774364647250457</v>
      </c>
      <c r="P2" s="37">
        <f>IFERROR(SUMPRODUCT('Slider Links'!$G$2:$K$2,'Slider Links'!$G$16:$K$16)/SQRT(SUMSQ('Slider Links'!$G$2:$K$2)*SUMSQ('Slider Links'!$G$16:$K$16)),0)</f>
        <v>1.7374889710522739E-2</v>
      </c>
      <c r="Q2" s="37">
        <f>IFERROR(SUMPRODUCT('Slider Links'!$G$2:$K$2,'Slider Links'!$G$17:$K$17)/SQRT(SUMSQ('Slider Links'!$G$2:$K$2)*SUMSQ('Slider Links'!$G$17:$K$17)),0)</f>
        <v>-6.408824618194793E-2</v>
      </c>
    </row>
    <row r="3" spans="1:17" x14ac:dyDescent="0.2">
      <c r="A3" s="32" t="str">
        <f>'Slider Links'!A3</f>
        <v>Fire</v>
      </c>
      <c r="B3" s="37">
        <f>IFERROR(SUMPRODUCT('Slider Links'!$G$3:$K$3,'Slider Links'!$G$2:$K$2)/SQRT(SUMSQ('Slider Links'!$G$3:$K$3)*SUMSQ('Slider Links'!$G$2:$K$2)),0)</f>
        <v>-9.6793080617535152E-2</v>
      </c>
      <c r="C3" s="37">
        <f>IFERROR(SUMPRODUCT('Slider Links'!$G$3:$K$3,'Slider Links'!$G$3:$K$3)/SQRT(SUMSQ('Slider Links'!$G$3:$K$3)*SUMSQ('Slider Links'!$G$3:$K$3)),0)</f>
        <v>1</v>
      </c>
      <c r="D3" s="37">
        <f>IFERROR(SUMPRODUCT('Slider Links'!$G$3:$K$3,'Slider Links'!$G$4:$K$4)/SQRT(SUMSQ('Slider Links'!$G$3:$K$3)*SUMSQ('Slider Links'!$G$4:$K$4)),0)</f>
        <v>-0.2418430558450613</v>
      </c>
      <c r="E3" s="37">
        <f>IFERROR(SUMPRODUCT('Slider Links'!$G$3:$K$3,'Slider Links'!$G$5:$K$5)/SQRT(SUMSQ('Slider Links'!$G$3:$K$3)*SUMSQ('Slider Links'!$G$5:$K$5)),0)</f>
        <v>0.21746411288782491</v>
      </c>
      <c r="F3" s="37">
        <f>IFERROR(SUMPRODUCT('Slider Links'!$G$3:$K$3,'Slider Links'!$G$6:$K$6)/SQRT(SUMSQ('Slider Links'!$G$3:$K$3)*SUMSQ('Slider Links'!$G$6:$K$6)),0)</f>
        <v>0.92223239020708025</v>
      </c>
      <c r="G3" s="37">
        <f>IFERROR(SUMPRODUCT('Slider Links'!$G$3:$K$3,'Slider Links'!$G$7:$K$7)/SQRT(SUMSQ('Slider Links'!$G$3:$K$3)*SUMSQ('Slider Links'!$G$7:$K$7)),0)</f>
        <v>-0.76777699772374575</v>
      </c>
      <c r="H3" s="37">
        <f>IFERROR(SUMPRODUCT('Slider Links'!$G$3:$K$3,'Slider Links'!$G$8:$K$8)/SQRT(SUMSQ('Slider Links'!$G$3:$K$3)*SUMSQ('Slider Links'!$G$8:$K$8)),0)</f>
        <v>-0.57261335731147089</v>
      </c>
      <c r="I3" s="37">
        <f>IFERROR(SUMPRODUCT('Slider Links'!$G$3:$K$3,'Slider Links'!$G$9:$K$9)/SQRT(SUMSQ('Slider Links'!$G$3:$K$3)*SUMSQ('Slider Links'!$G$9:$K$9)),0)</f>
        <v>-7.4904966090783107E-2</v>
      </c>
      <c r="J3" s="37">
        <f>IFERROR(SUMPRODUCT('Slider Links'!$G$3:$K$3,'Slider Links'!$G$10:$K$10)/SQRT(SUMSQ('Slider Links'!$G$3:$K$3)*SUMSQ('Slider Links'!$G$10:$K$10)),0)</f>
        <v>0.23328692334911774</v>
      </c>
      <c r="K3" s="37">
        <f>IFERROR(SUMPRODUCT('Slider Links'!$G$3:$K$3,'Slider Links'!$G$11:$K$11)/SQRT(SUMSQ('Slider Links'!$G$3:$K$3)*SUMSQ('Slider Links'!$G$11:$K$11)),0)</f>
        <v>0.30709336561458106</v>
      </c>
      <c r="L3" s="37">
        <f>IFERROR(SUMPRODUCT('Slider Links'!$G$3:$K$3,'Slider Links'!$G$12:$K$12)/SQRT(SUMSQ('Slider Links'!$G$3:$K$3)*SUMSQ('Slider Links'!$G$12:$K$12)),0)</f>
        <v>-0.55172413793103448</v>
      </c>
      <c r="M3" s="37">
        <f>IFERROR(SUMPRODUCT('Slider Links'!$G$3:$K$3,'Slider Links'!$G$13:$K$13)/SQRT(SUMSQ('Slider Links'!$G$3:$K$3)*SUMSQ('Slider Links'!$G$13:$K$13)),0)</f>
        <v>0</v>
      </c>
      <c r="N3" s="37">
        <f>IFERROR(SUMPRODUCT('Slider Links'!$G$3:$K$3,'Slider Links'!$G$14:$K$14)/SQRT(SUMSQ('Slider Links'!$G$3:$K$3)*SUMSQ('Slider Links'!$G$14:$K$14)),0)</f>
        <v>0.78329339642084161</v>
      </c>
      <c r="O3" s="37">
        <f>IFERROR(SUMPRODUCT('Slider Links'!$G$3:$K$3,'Slider Links'!$G$15:$K$15)/SQRT(SUMSQ('Slider Links'!$G$3:$K$3)*SUMSQ('Slider Links'!$G$15:$K$15)),0)</f>
        <v>-0.1139788525525242</v>
      </c>
      <c r="P3" s="37">
        <f>IFERROR(SUMPRODUCT('Slider Links'!$G$3:$K$3,'Slider Links'!$G$16:$K$16)/SQRT(SUMSQ('Slider Links'!$G$3:$K$3)*SUMSQ('Slider Links'!$G$16:$K$16)),0)</f>
        <v>-0.20055096523121602</v>
      </c>
      <c r="Q3" s="37">
        <f>IFERROR(SUMPRODUCT('Slider Links'!$G$3:$K$3,'Slider Links'!$G$17:$K$17)/SQRT(SUMSQ('Slider Links'!$G$3:$K$3)*SUMSQ('Slider Links'!$G$17:$K$17)),0)</f>
        <v>0.11644108750359328</v>
      </c>
    </row>
    <row r="4" spans="1:17" x14ac:dyDescent="0.2">
      <c r="A4" s="32" t="str">
        <f>'Slider Links'!A4</f>
        <v>Earth</v>
      </c>
      <c r="B4" s="37">
        <f>IFERROR(SUMPRODUCT('Slider Links'!$G$4:$K$4,'Slider Links'!$G$2:$K$2)/SQRT(SUMSQ('Slider Links'!$G$4:$K$4)*SUMSQ('Slider Links'!$G$2:$K$2)),0)</f>
        <v>6.7346557305045657E-2</v>
      </c>
      <c r="C4" s="37">
        <f>IFERROR(SUMPRODUCT('Slider Links'!$G$4:$K$4,'Slider Links'!$G$3:$K$3)/SQRT(SUMSQ('Slider Links'!$G$4:$K$4)*SUMSQ('Slider Links'!$G$3:$K$3)),0)</f>
        <v>-0.2418430558450613</v>
      </c>
      <c r="D4" s="37">
        <f>IFERROR(SUMPRODUCT('Slider Links'!$G$4:$K$4,'Slider Links'!$G$4:$K$4)/SQRT(SUMSQ('Slider Links'!$G$4:$K$4)*SUMSQ('Slider Links'!$G$4:$K$4)),0)</f>
        <v>1</v>
      </c>
      <c r="E4" s="37">
        <f>IFERROR(SUMPRODUCT('Slider Links'!$G$4:$K$4,'Slider Links'!$G$5:$K$5)/SQRT(SUMSQ('Slider Links'!$G$4:$K$4)*SUMSQ('Slider Links'!$G$5:$K$5)),0)</f>
        <v>-0.27235238970096104</v>
      </c>
      <c r="F4" s="37">
        <f>IFERROR(SUMPRODUCT('Slider Links'!$G$4:$K$4,'Slider Links'!$G$6:$K$6)/SQRT(SUMSQ('Slider Links'!$G$4:$K$4)*SUMSQ('Slider Links'!$G$6:$K$6)),0)</f>
        <v>-0.48701076700570717</v>
      </c>
      <c r="G4" s="37">
        <f>IFERROR(SUMPRODUCT('Slider Links'!$G$4:$K$4,'Slider Links'!$G$7:$K$7)/SQRT(SUMSQ('Slider Links'!$G$4:$K$4)*SUMSQ('Slider Links'!$G$7:$K$7)),0)</f>
        <v>0.36463018844039885</v>
      </c>
      <c r="H4" s="37">
        <f>IFERROR(SUMPRODUCT('Slider Links'!$G$4:$K$4,'Slider Links'!$G$8:$K$8)/SQRT(SUMSQ('Slider Links'!$G$4:$K$4)*SUMSQ('Slider Links'!$G$8:$K$8)),0)</f>
        <v>-0.31872971113867282</v>
      </c>
      <c r="I4" s="37">
        <f>IFERROR(SUMPRODUCT('Slider Links'!$G$4:$K$4,'Slider Links'!$G$9:$K$9)/SQRT(SUMSQ('Slider Links'!$G$4:$K$4)*SUMSQ('Slider Links'!$G$9:$K$9)),0)</f>
        <v>0.88599367335330192</v>
      </c>
      <c r="J4" s="37">
        <f>IFERROR(SUMPRODUCT('Slider Links'!$G$4:$K$4,'Slider Links'!$G$10:$K$10)/SQRT(SUMSQ('Slider Links'!$G$4:$K$4)*SUMSQ('Slider Links'!$G$10:$K$10)),0)</f>
        <v>0.27151049467368427</v>
      </c>
      <c r="K4" s="37">
        <f>IFERROR(SUMPRODUCT('Slider Links'!$G$4:$K$4,'Slider Links'!$G$11:$K$11)/SQRT(SUMSQ('Slider Links'!$G$4:$K$4)*SUMSQ('Slider Links'!$G$11:$K$11)),0)</f>
        <v>0.34187040335385305</v>
      </c>
      <c r="L4" s="37">
        <f>IFERROR(SUMPRODUCT('Slider Links'!$G$4:$K$4,'Slider Links'!$G$12:$K$12)/SQRT(SUMSQ('Slider Links'!$G$4:$K$4)*SUMSQ('Slider Links'!$G$12:$K$12)),0)</f>
        <v>4.6065343970487879E-2</v>
      </c>
      <c r="M4" s="37">
        <f>IFERROR(SUMPRODUCT('Slider Links'!$G$4:$K$4,'Slider Links'!$G$13:$K$13)/SQRT(SUMSQ('Slider Links'!$G$4:$K$4)*SUMSQ('Slider Links'!$G$13:$K$13)),0)</f>
        <v>0.53515468095157182</v>
      </c>
      <c r="N4" s="37">
        <f>IFERROR(SUMPRODUCT('Slider Links'!$G$4:$K$4,'Slider Links'!$G$14:$K$14)/SQRT(SUMSQ('Slider Links'!$G$4:$K$4)*SUMSQ('Slider Links'!$G$14:$K$14)),0)</f>
        <v>-0.31532073921025994</v>
      </c>
      <c r="O4" s="37">
        <f>IFERROR(SUMPRODUCT('Slider Links'!$G$4:$K$4,'Slider Links'!$G$15:$K$15)/SQRT(SUMSQ('Slider Links'!$G$4:$K$4)*SUMSQ('Slider Links'!$G$15:$K$15)),0)</f>
        <v>-0.78246662870995509</v>
      </c>
      <c r="P4" s="37">
        <f>IFERROR(SUMPRODUCT('Slider Links'!$G$4:$K$4,'Slider Links'!$G$16:$K$16)/SQRT(SUMSQ('Slider Links'!$G$4:$K$4)*SUMSQ('Slider Links'!$G$16:$K$16)),0)</f>
        <v>3.7210420376762532E-2</v>
      </c>
      <c r="Q4" s="37">
        <f>IFERROR(SUMPRODUCT('Slider Links'!$G$4:$K$4,'Slider Links'!$G$17:$K$17)/SQRT(SUMSQ('Slider Links'!$G$4:$K$4)*SUMSQ('Slider Links'!$G$17:$K$17)),0)</f>
        <v>-0.19444132962046287</v>
      </c>
    </row>
    <row r="5" spans="1:17" x14ac:dyDescent="0.2">
      <c r="A5" s="32" t="str">
        <f>'Slider Links'!A5</f>
        <v>Wind</v>
      </c>
      <c r="B5" s="37">
        <f>IFERROR(SUMPRODUCT('Slider Links'!$G$5:$K$5,'Slider Links'!$G$2:$K$2)/SQRT(SUMSQ('Slider Links'!$G$5:$K$5)*SUMSQ('Slider Links'!$G$2:$K$2)),0)</f>
        <v>0.8690030019685594</v>
      </c>
      <c r="C5" s="37">
        <f>IFERROR(SUMPRODUCT('Slider Links'!$G$5:$K$5,'Slider Links'!$G$3:$K$3)/SQRT(SUMSQ('Slider Links'!$G$5:$K$5)*SUMSQ('Slider Links'!$G$3:$K$3)),0)</f>
        <v>0.21746411288782491</v>
      </c>
      <c r="D5" s="37">
        <f>IFERROR(SUMPRODUCT('Slider Links'!$G$5:$K$5,'Slider Links'!$G$4:$K$4)/SQRT(SUMSQ('Slider Links'!$G$5:$K$5)*SUMSQ('Slider Links'!$G$4:$K$4)),0)</f>
        <v>-0.27235238970096104</v>
      </c>
      <c r="E5" s="37">
        <f>IFERROR(SUMPRODUCT('Slider Links'!$G$5:$K$5,'Slider Links'!$G$5:$K$5)/SQRT(SUMSQ('Slider Links'!$G$5:$K$5)*SUMSQ('Slider Links'!$G$5:$K$5)),0)</f>
        <v>1</v>
      </c>
      <c r="F5" s="37">
        <f>IFERROR(SUMPRODUCT('Slider Links'!$G$5:$K$5,'Slider Links'!$G$6:$K$6)/SQRT(SUMSQ('Slider Links'!$G$5:$K$5)*SUMSQ('Slider Links'!$G$6:$K$6)),0)</f>
        <v>0.37282185960072001</v>
      </c>
      <c r="G5" s="37">
        <f>IFERROR(SUMPRODUCT('Slider Links'!$G$5:$K$5,'Slider Links'!$G$7:$K$7)/SQRT(SUMSQ('Slider Links'!$G$5:$K$5)*SUMSQ('Slider Links'!$G$7:$K$7)),0)</f>
        <v>-0.3516709976369467</v>
      </c>
      <c r="H5" s="37">
        <f>IFERROR(SUMPRODUCT('Slider Links'!$G$5:$K$5,'Slider Links'!$G$8:$K$8)/SQRT(SUMSQ('Slider Links'!$G$5:$K$5)*SUMSQ('Slider Links'!$G$8:$K$8)),0)</f>
        <v>3.7151880838356806E-2</v>
      </c>
      <c r="I5" s="37">
        <f>IFERROR(SUMPRODUCT('Slider Links'!$G$5:$K$5,'Slider Links'!$G$9:$K$9)/SQRT(SUMSQ('Slider Links'!$G$5:$K$5)*SUMSQ('Slider Links'!$G$9:$K$9)),0)</f>
        <v>-0.24603391565256152</v>
      </c>
      <c r="J5" s="37">
        <f>IFERROR(SUMPRODUCT('Slider Links'!$G$5:$K$5,'Slider Links'!$G$10:$K$10)/SQRT(SUMSQ('Slider Links'!$G$5:$K$5)*SUMSQ('Slider Links'!$G$10:$K$10)),0)</f>
        <v>0.78018949760549394</v>
      </c>
      <c r="K5" s="37">
        <f>IFERROR(SUMPRODUCT('Slider Links'!$G$5:$K$5,'Slider Links'!$G$11:$K$11)/SQRT(SUMSQ('Slider Links'!$G$5:$K$5)*SUMSQ('Slider Links'!$G$11:$K$11)),0)</f>
        <v>0.34583425062254097</v>
      </c>
      <c r="L5" s="37">
        <f>IFERROR(SUMPRODUCT('Slider Links'!$G$5:$K$5,'Slider Links'!$G$12:$K$12)/SQRT(SUMSQ('Slider Links'!$G$5:$K$5)*SUMSQ('Slider Links'!$G$12:$K$12)),0)</f>
        <v>-0.3261961693317374</v>
      </c>
      <c r="M5" s="37">
        <f>IFERROR(SUMPRODUCT('Slider Links'!$G$5:$K$5,'Slider Links'!$G$13:$K$13)/SQRT(SUMSQ('Slider Links'!$G$5:$K$5)*SUMSQ('Slider Links'!$G$13:$K$13)),0)</f>
        <v>0.2296677007052858</v>
      </c>
      <c r="N5" s="37">
        <f>IFERROR(SUMPRODUCT('Slider Links'!$G$5:$K$5,'Slider Links'!$G$14:$K$14)/SQRT(SUMSQ('Slider Links'!$G$5:$K$5)*SUMSQ('Slider Links'!$G$14:$K$14)),0)</f>
        <v>0.3491679693993151</v>
      </c>
      <c r="O5" s="37">
        <f>IFERROR(SUMPRODUCT('Slider Links'!$G$5:$K$5,'Slider Links'!$G$15:$K$15)/SQRT(SUMSQ('Slider Links'!$G$5:$K$5)*SUMSQ('Slider Links'!$G$15:$K$15)),0)</f>
        <v>6.6555832563972142E-2</v>
      </c>
      <c r="P5" s="37">
        <f>IFERROR(SUMPRODUCT('Slider Links'!$G$5:$K$5,'Slider Links'!$G$16:$K$16)/SQRT(SUMSQ('Slider Links'!$G$5:$K$5)*SUMSQ('Slider Links'!$G$16:$K$16)),0)</f>
        <v>0.23421601750764792</v>
      </c>
      <c r="Q5" s="37">
        <f>IFERROR(SUMPRODUCT('Slider Links'!$G$5:$K$5,'Slider Links'!$G$17:$K$17)/SQRT(SUMSQ('Slider Links'!$G$5:$K$5)*SUMSQ('Slider Links'!$G$17:$K$17)),0)</f>
        <v>0.28797293181655403</v>
      </c>
    </row>
    <row r="6" spans="1:17" x14ac:dyDescent="0.2">
      <c r="A6" s="32" t="str">
        <f>'Slider Links'!A6</f>
        <v>Lightning</v>
      </c>
      <c r="B6" s="37">
        <f>IFERROR(SUMPRODUCT('Slider Links'!$G$6:$K$6,'Slider Links'!$G$2:$K$2)/SQRT(SUMSQ('Slider Links'!$G$6:$K$6)*SUMSQ('Slider Links'!$G$2:$K$2)),0)</f>
        <v>5.5314224545065502E-2</v>
      </c>
      <c r="C6" s="37">
        <f>IFERROR(SUMPRODUCT('Slider Links'!$G$6:$K$6,'Slider Links'!$G$3:$K$3)/SQRT(SUMSQ('Slider Links'!$G$6:$K$6)*SUMSQ('Slider Links'!$G$3:$K$3)),0)</f>
        <v>0.92223239020708025</v>
      </c>
      <c r="D6" s="37">
        <f>IFERROR(SUMPRODUCT('Slider Links'!$G$6:$K$6,'Slider Links'!$G$4:$K$4)/SQRT(SUMSQ('Slider Links'!$G$6:$K$6)*SUMSQ('Slider Links'!$G$4:$K$4)),0)</f>
        <v>-0.48701076700570717</v>
      </c>
      <c r="E6" s="37">
        <f>IFERROR(SUMPRODUCT('Slider Links'!$G$6:$K$6,'Slider Links'!$G$5:$K$5)/SQRT(SUMSQ('Slider Links'!$G$6:$K$6)*SUMSQ('Slider Links'!$G$5:$K$5)),0)</f>
        <v>0.37282185960072001</v>
      </c>
      <c r="F6" s="37">
        <f>IFERROR(SUMPRODUCT('Slider Links'!$G$6:$K$6,'Slider Links'!$G$6:$K$6)/SQRT(SUMSQ('Slider Links'!$G$6:$K$6)*SUMSQ('Slider Links'!$G$6:$K$6)),0)</f>
        <v>1</v>
      </c>
      <c r="G6" s="37">
        <f>IFERROR(SUMPRODUCT('Slider Links'!$G$6:$K$6,'Slider Links'!$G$7:$K$7)/SQRT(SUMSQ('Slider Links'!$G$6:$K$6)*SUMSQ('Slider Links'!$G$7:$K$7)),0)</f>
        <v>-0.64405224361159885</v>
      </c>
      <c r="H6" s="37">
        <f>IFERROR(SUMPRODUCT('Slider Links'!$G$6:$K$6,'Slider Links'!$G$8:$K$8)/SQRT(SUMSQ('Slider Links'!$G$6:$K$6)*SUMSQ('Slider Links'!$G$8:$K$8)),0)</f>
        <v>-0.55750409039827753</v>
      </c>
      <c r="I6" s="37">
        <f>IFERROR(SUMPRODUCT('Slider Links'!$G$6:$K$6,'Slider Links'!$G$9:$K$9)/SQRT(SUMSQ('Slider Links'!$G$6:$K$6)*SUMSQ('Slider Links'!$G$9:$K$9)),0)</f>
        <v>-0.25683510148361705</v>
      </c>
      <c r="J6" s="37">
        <f>IFERROR(SUMPRODUCT('Slider Links'!$G$6:$K$6,'Slider Links'!$G$10:$K$10)/SQRT(SUMSQ('Slider Links'!$G$6:$K$6)*SUMSQ('Slider Links'!$G$10:$K$10)),0)</f>
        <v>0.1696751579473019</v>
      </c>
      <c r="K6" s="37">
        <f>IFERROR(SUMPRODUCT('Slider Links'!$G$6:$K$6,'Slider Links'!$G$11:$K$11)/SQRT(SUMSQ('Slider Links'!$G$6:$K$6)*SUMSQ('Slider Links'!$G$11:$K$11)),0)</f>
        <v>0.23399236492982003</v>
      </c>
      <c r="L6" s="37">
        <f>IFERROR(SUMPRODUCT('Slider Links'!$G$6:$K$6,'Slider Links'!$G$12:$K$12)/SQRT(SUMSQ('Slider Links'!$G$6:$K$6)*SUMSQ('Slider Links'!$G$12:$K$12)),0)</f>
        <v>-0.53599831225710648</v>
      </c>
      <c r="M6" s="37">
        <f>IFERROR(SUMPRODUCT('Slider Links'!$G$6:$K$6,'Slider Links'!$G$13:$K$13)/SQRT(SUMSQ('Slider Links'!$G$6:$K$6)*SUMSQ('Slider Links'!$G$13:$K$13)),0)</f>
        <v>-6.6597330541129318E-2</v>
      </c>
      <c r="N6" s="37">
        <f>IFERROR(SUMPRODUCT('Slider Links'!$G$6:$K$6,'Slider Links'!$G$14:$K$14)/SQRT(SUMSQ('Slider Links'!$G$6:$K$6)*SUMSQ('Slider Links'!$G$14:$K$14)),0)</f>
        <v>0.91124216165121985</v>
      </c>
      <c r="O6" s="37">
        <f>IFERROR(SUMPRODUCT('Slider Links'!$G$6:$K$6,'Slider Links'!$G$15:$K$15)/SQRT(SUMSQ('Slider Links'!$G$6:$K$6)*SUMSQ('Slider Links'!$G$15:$K$15)),0)</f>
        <v>-1.447452373720165E-2</v>
      </c>
      <c r="P6" s="37">
        <f>IFERROR(SUMPRODUCT('Slider Links'!$G$6:$K$6,'Slider Links'!$G$16:$K$16)/SQRT(SUMSQ('Slider Links'!$G$6:$K$6)*SUMSQ('Slider Links'!$G$16:$K$16)),0)</f>
        <v>-0.26317534318636554</v>
      </c>
      <c r="Q6" s="37">
        <f>IFERROR(SUMPRODUCT('Slider Links'!$G$6:$K$6,'Slider Links'!$G$17:$K$17)/SQRT(SUMSQ('Slider Links'!$G$6:$K$6)*SUMSQ('Slider Links'!$G$17:$K$17)),0)</f>
        <v>0.10177080166522119</v>
      </c>
    </row>
    <row r="7" spans="1:17" x14ac:dyDescent="0.2">
      <c r="A7" s="32" t="str">
        <f>'Slider Links'!A7</f>
        <v>Ice</v>
      </c>
      <c r="B7" s="37">
        <f>IFERROR(SUMPRODUCT('Slider Links'!$G$7:$K$7,'Slider Links'!$G$2:$K$2)/SQRT(SUMSQ('Slider Links'!$G$7:$K$7)*SUMSQ('Slider Links'!$G$2:$K$2)),0)</f>
        <v>-2.4715017480182858E-2</v>
      </c>
      <c r="C7" s="37">
        <f>IFERROR(SUMPRODUCT('Slider Links'!$G$7:$K$7,'Slider Links'!$G$3:$K$3)/SQRT(SUMSQ('Slider Links'!$G$7:$K$7)*SUMSQ('Slider Links'!$G$3:$K$3)),0)</f>
        <v>-0.76777699772374575</v>
      </c>
      <c r="D7" s="37">
        <f>IFERROR(SUMPRODUCT('Slider Links'!$G$7:$K$7,'Slider Links'!$G$4:$K$4)/SQRT(SUMSQ('Slider Links'!$G$7:$K$7)*SUMSQ('Slider Links'!$G$4:$K$4)),0)</f>
        <v>0.36463018844039885</v>
      </c>
      <c r="E7" s="37">
        <f>IFERROR(SUMPRODUCT('Slider Links'!$G$7:$K$7,'Slider Links'!$G$5:$K$5)/SQRT(SUMSQ('Slider Links'!$G$7:$K$7)*SUMSQ('Slider Links'!$G$5:$K$5)),0)</f>
        <v>-0.3516709976369467</v>
      </c>
      <c r="F7" s="37">
        <f>IFERROR(SUMPRODUCT('Slider Links'!$G$7:$K$7,'Slider Links'!$G$6:$K$6)/SQRT(SUMSQ('Slider Links'!$G$7:$K$7)*SUMSQ('Slider Links'!$G$6:$K$6)),0)</f>
        <v>-0.64405224361159885</v>
      </c>
      <c r="G7" s="37">
        <f>IFERROR(SUMPRODUCT('Slider Links'!$G$7:$K$7,'Slider Links'!$G$7:$K$7)/SQRT(SUMSQ('Slider Links'!$G$7:$K$7)*SUMSQ('Slider Links'!$G$7:$K$7)),0)</f>
        <v>1</v>
      </c>
      <c r="H7" s="37">
        <f>IFERROR(SUMPRODUCT('Slider Links'!$G$7:$K$7,'Slider Links'!$G$8:$K$8)/SQRT(SUMSQ('Slider Links'!$G$7:$K$7)*SUMSQ('Slider Links'!$G$8:$K$8)),0)</f>
        <v>2.1660790971220426E-2</v>
      </c>
      <c r="I7" s="37">
        <f>IFERROR(SUMPRODUCT('Slider Links'!$G$7:$K$7,'Slider Links'!$G$9:$K$9)/SQRT(SUMSQ('Slider Links'!$G$7:$K$7)*SUMSQ('Slider Links'!$G$9:$K$9)),0)</f>
        <v>0.45265186639284377</v>
      </c>
      <c r="J7" s="37">
        <f>IFERROR(SUMPRODUCT('Slider Links'!$G$7:$K$7,'Slider Links'!$G$10:$K$10)/SQRT(SUMSQ('Slider Links'!$G$7:$K$7)*SUMSQ('Slider Links'!$G$10:$K$10)),0)</f>
        <v>-0.42599555576733539</v>
      </c>
      <c r="K7" s="37">
        <f>IFERROR(SUMPRODUCT('Slider Links'!$G$7:$K$7,'Slider Links'!$G$11:$K$11)/SQRT(SUMSQ('Slider Links'!$G$7:$K$7)*SUMSQ('Slider Links'!$G$11:$K$11)),0)</f>
        <v>-0.37339435593604553</v>
      </c>
      <c r="L7" s="37">
        <f>IFERROR(SUMPRODUCT('Slider Links'!$G$7:$K$7,'Slider Links'!$G$12:$K$12)/SQRT(SUMSQ('Slider Links'!$G$7:$K$7)*SUMSQ('Slider Links'!$G$12:$K$12)),0)</f>
        <v>0.60576900737836814</v>
      </c>
      <c r="M7" s="37">
        <f>IFERROR(SUMPRODUCT('Slider Links'!$G$7:$K$7,'Slider Links'!$G$13:$K$13)/SQRT(SUMSQ('Slider Links'!$G$7:$K$7)*SUMSQ('Slider Links'!$G$13:$K$13)),0)</f>
        <v>-6.6951981239693772E-2</v>
      </c>
      <c r="N7" s="37">
        <f>IFERROR(SUMPRODUCT('Slider Links'!$G$7:$K$7,'Slider Links'!$G$14:$K$14)/SQRT(SUMSQ('Slider Links'!$G$7:$K$7)*SUMSQ('Slider Links'!$G$14:$K$14)),0)</f>
        <v>-0.42143932256883188</v>
      </c>
      <c r="O7" s="37">
        <f>IFERROR(SUMPRODUCT('Slider Links'!$G$7:$K$7,'Slider Links'!$G$15:$K$15)/SQRT(SUMSQ('Slider Links'!$G$7:$K$7)*SUMSQ('Slider Links'!$G$15:$K$15)),0)</f>
        <v>-0.36217327761478568</v>
      </c>
      <c r="P7" s="37">
        <f>IFERROR(SUMPRODUCT('Slider Links'!$G$7:$K$7,'Slider Links'!$G$16:$K$16)/SQRT(SUMSQ('Slider Links'!$G$7:$K$7)*SUMSQ('Slider Links'!$G$16:$K$16)),0)</f>
        <v>8.3450756599196985E-2</v>
      </c>
      <c r="Q7" s="37">
        <f>IFERROR(SUMPRODUCT('Slider Links'!$G$7:$K$7,'Slider Links'!$G$17:$K$17)/SQRT(SUMSQ('Slider Links'!$G$7:$K$7)*SUMSQ('Slider Links'!$G$17:$K$17)),0)</f>
        <v>-8.394893260703859E-2</v>
      </c>
    </row>
    <row r="8" spans="1:17" x14ac:dyDescent="0.2">
      <c r="A8" s="32" t="str">
        <f>'Slider Links'!A8</f>
        <v>Dark</v>
      </c>
      <c r="B8" s="37">
        <f>IFERROR(SUMPRODUCT('Slider Links'!$G$8:$K$8,'Slider Links'!$G$2:$K$2)/SQRT(SUMSQ('Slider Links'!$G$8:$K$8)*SUMSQ('Slider Links'!$G$2:$K$2)),0)</f>
        <v>-5.7876940349568473E-2</v>
      </c>
      <c r="C8" s="37">
        <f>IFERROR(SUMPRODUCT('Slider Links'!$G$8:$K$8,'Slider Links'!$G$3:$K$3)/SQRT(SUMSQ('Slider Links'!$G$8:$K$8)*SUMSQ('Slider Links'!$G$3:$K$3)),0)</f>
        <v>-0.57261335731147089</v>
      </c>
      <c r="D8" s="37">
        <f>IFERROR(SUMPRODUCT('Slider Links'!$G$8:$K$8,'Slider Links'!$G$4:$K$4)/SQRT(SUMSQ('Slider Links'!$G$8:$K$8)*SUMSQ('Slider Links'!$G$4:$K$4)),0)</f>
        <v>-0.31872971113867282</v>
      </c>
      <c r="E8" s="37">
        <f>IFERROR(SUMPRODUCT('Slider Links'!$G$8:$K$8,'Slider Links'!$G$5:$K$5)/SQRT(SUMSQ('Slider Links'!$G$8:$K$8)*SUMSQ('Slider Links'!$G$5:$K$5)),0)</f>
        <v>3.7151880838356806E-2</v>
      </c>
      <c r="F8" s="37">
        <f>IFERROR(SUMPRODUCT('Slider Links'!$G$8:$K$8,'Slider Links'!$G$6:$K$6)/SQRT(SUMSQ('Slider Links'!$G$8:$K$8)*SUMSQ('Slider Links'!$G$6:$K$6)),0)</f>
        <v>-0.55750409039827753</v>
      </c>
      <c r="G8" s="37">
        <f>IFERROR(SUMPRODUCT('Slider Links'!$G$8:$K$8,'Slider Links'!$G$7:$K$7)/SQRT(SUMSQ('Slider Links'!$G$8:$K$8)*SUMSQ('Slider Links'!$G$7:$K$7)),0)</f>
        <v>2.1660790971220426E-2</v>
      </c>
      <c r="H8" s="37">
        <f>IFERROR(SUMPRODUCT('Slider Links'!$G$8:$K$8,'Slider Links'!$G$8:$K$8)/SQRT(SUMSQ('Slider Links'!$G$8:$K$8)*SUMSQ('Slider Links'!$G$8:$K$8)),0)</f>
        <v>1</v>
      </c>
      <c r="I8" s="37">
        <f>IFERROR(SUMPRODUCT('Slider Links'!$G$8:$K$8,'Slider Links'!$G$9:$K$9)/SQRT(SUMSQ('Slider Links'!$G$8:$K$8)*SUMSQ('Slider Links'!$G$9:$K$9)),0)</f>
        <v>-0.49907800032189947</v>
      </c>
      <c r="J8" s="37">
        <f>IFERROR(SUMPRODUCT('Slider Links'!$G$8:$K$8,'Slider Links'!$G$10:$K$10)/SQRT(SUMSQ('Slider Links'!$G$8:$K$8)*SUMSQ('Slider Links'!$G$10:$K$10)),0)</f>
        <v>-0.13043478260869568</v>
      </c>
      <c r="K8" s="37">
        <f>IFERROR(SUMPRODUCT('Slider Links'!$G$8:$K$8,'Slider Links'!$G$11:$K$11)/SQRT(SUMSQ('Slider Links'!$G$8:$K$8)*SUMSQ('Slider Links'!$G$11:$K$11)),0)</f>
        <v>-0.48716822961439532</v>
      </c>
      <c r="L8" s="37">
        <f>IFERROR(SUMPRODUCT('Slider Links'!$G$8:$K$8,'Slider Links'!$G$12:$K$12)/SQRT(SUMSQ('Slider Links'!$G$8:$K$8)*SUMSQ('Slider Links'!$G$12:$K$12)),0)</f>
        <v>0.48778174882088265</v>
      </c>
      <c r="M8" s="37">
        <f>IFERROR(SUMPRODUCT('Slider Links'!$G$8:$K$8,'Slider Links'!$G$13:$K$13)/SQRT(SUMSQ('Slider Links'!$G$8:$K$8)*SUMSQ('Slider Links'!$G$13:$K$13)),0)</f>
        <v>-0.41809676540208718</v>
      </c>
      <c r="N8" s="37">
        <f>IFERROR(SUMPRODUCT('Slider Links'!$G$8:$K$8,'Slider Links'!$G$14:$K$14)/SQRT(SUMSQ('Slider Links'!$G$8:$K$8)*SUMSQ('Slider Links'!$G$14:$K$14)),0)</f>
        <v>-0.75990056206083456</v>
      </c>
      <c r="O8" s="37">
        <f>IFERROR(SUMPRODUCT('Slider Links'!$G$8:$K$8,'Slider Links'!$G$15:$K$15)/SQRT(SUMSQ('Slider Links'!$G$8:$K$8)*SUMSQ('Slider Links'!$G$15:$K$15)),0)</f>
        <v>0.76591088316931233</v>
      </c>
      <c r="P8" s="37">
        <f>IFERROR(SUMPRODUCT('Slider Links'!$G$8:$K$8,'Slider Links'!$G$16:$K$16)/SQRT(SUMSQ('Slider Links'!$G$8:$K$8)*SUMSQ('Slider Links'!$G$16:$K$16)),0)</f>
        <v>0.52535702146254781</v>
      </c>
      <c r="Q8" s="37">
        <f>IFERROR(SUMPRODUCT('Slider Links'!$G$8:$K$8,'Slider Links'!$G$17:$K$17)/SQRT(SUMSQ('Slider Links'!$G$8:$K$8)*SUMSQ('Slider Links'!$G$17:$K$17)),0)</f>
        <v>0.32998913996572221</v>
      </c>
    </row>
    <row r="9" spans="1:17" x14ac:dyDescent="0.2">
      <c r="A9" s="32" t="str">
        <f>'Slider Links'!A9</f>
        <v>Metal</v>
      </c>
      <c r="B9" s="37">
        <f>IFERROR(SUMPRODUCT('Slider Links'!$G$9:$K$9,'Slider Links'!$G$2:$K$2)/SQRT(SUMSQ('Slider Links'!$G$9:$K$9)*SUMSQ('Slider Links'!$G$2:$K$2)),0)</f>
        <v>-2.1901894814884217E-2</v>
      </c>
      <c r="C9" s="37">
        <f>IFERROR(SUMPRODUCT('Slider Links'!$G$9:$K$9,'Slider Links'!$G$3:$K$3)/SQRT(SUMSQ('Slider Links'!$G$9:$K$9)*SUMSQ('Slider Links'!$G$3:$K$3)),0)</f>
        <v>-7.4904966090783107E-2</v>
      </c>
      <c r="D9" s="37">
        <f>IFERROR(SUMPRODUCT('Slider Links'!$G$9:$K$9,'Slider Links'!$G$4:$K$4)/SQRT(SUMSQ('Slider Links'!$G$9:$K$9)*SUMSQ('Slider Links'!$G$4:$K$4)),0)</f>
        <v>0.88599367335330192</v>
      </c>
      <c r="E9" s="37">
        <f>IFERROR(SUMPRODUCT('Slider Links'!$G$9:$K$9,'Slider Links'!$G$5:$K$5)/SQRT(SUMSQ('Slider Links'!$G$9:$K$9)*SUMSQ('Slider Links'!$G$5:$K$5)),0)</f>
        <v>-0.24603391565256152</v>
      </c>
      <c r="F9" s="37">
        <f>IFERROR(SUMPRODUCT('Slider Links'!$G$9:$K$9,'Slider Links'!$G$6:$K$6)/SQRT(SUMSQ('Slider Links'!$G$9:$K$9)*SUMSQ('Slider Links'!$G$6:$K$6)),0)</f>
        <v>-0.25683510148361705</v>
      </c>
      <c r="G9" s="37">
        <f>IFERROR(SUMPRODUCT('Slider Links'!$G$9:$K$9,'Slider Links'!$G$7:$K$7)/SQRT(SUMSQ('Slider Links'!$G$9:$K$9)*SUMSQ('Slider Links'!$G$7:$K$7)),0)</f>
        <v>0.45265186639284377</v>
      </c>
      <c r="H9" s="37">
        <f>IFERROR(SUMPRODUCT('Slider Links'!$G$9:$K$9,'Slider Links'!$G$8:$K$8)/SQRT(SUMSQ('Slider Links'!$G$9:$K$9)*SUMSQ('Slider Links'!$G$8:$K$8)),0)</f>
        <v>-0.49907800032189947</v>
      </c>
      <c r="I9" s="37">
        <f>IFERROR(SUMPRODUCT('Slider Links'!$G$9:$K$9,'Slider Links'!$G$9:$K$9)/SQRT(SUMSQ('Slider Links'!$G$9:$K$9)*SUMSQ('Slider Links'!$G$9:$K$9)),0)</f>
        <v>1</v>
      </c>
      <c r="J9" s="37">
        <f>IFERROR(SUMPRODUCT('Slider Links'!$G$9:$K$9,'Slider Links'!$G$10:$K$10)/SQRT(SUMSQ('Slider Links'!$G$9:$K$9)*SUMSQ('Slider Links'!$G$10:$K$10)),0)</f>
        <v>0.11517184622813058</v>
      </c>
      <c r="K9" s="37">
        <f>IFERROR(SUMPRODUCT('Slider Links'!$G$9:$K$9,'Slider Links'!$G$11:$K$11)/SQRT(SUMSQ('Slider Links'!$G$9:$K$9)*SUMSQ('Slider Links'!$G$11:$K$11)),0)</f>
        <v>9.265023972276043E-2</v>
      </c>
      <c r="L9" s="37">
        <f>IFERROR(SUMPRODUCT('Slider Links'!$G$9:$K$9,'Slider Links'!$G$12:$K$12)/SQRT(SUMSQ('Slider Links'!$G$9:$K$9)*SUMSQ('Slider Links'!$G$12:$K$12)),0)</f>
        <v>0.23719905928747984</v>
      </c>
      <c r="M9" s="37">
        <f>IFERROR(SUMPRODUCT('Slider Links'!$G$9:$K$9,'Slider Links'!$G$13:$K$13)/SQRT(SUMSQ('Slider Links'!$G$9:$K$9)*SUMSQ('Slider Links'!$G$13:$K$13)),0)</f>
        <v>0.25051012708525966</v>
      </c>
      <c r="N9" s="37">
        <f>IFERROR(SUMPRODUCT('Slider Links'!$G$9:$K$9,'Slider Links'!$G$14:$K$14)/SQRT(SUMSQ('Slider Links'!$G$9:$K$9)*SUMSQ('Slider Links'!$G$14:$K$14)),0)</f>
        <v>-0.13293003075336618</v>
      </c>
      <c r="O9" s="37">
        <f>IFERROR(SUMPRODUCT('Slider Links'!$G$9:$K$9,'Slider Links'!$G$15:$K$15)/SQRT(SUMSQ('Slider Links'!$G$9:$K$9)*SUMSQ('Slider Links'!$G$15:$K$15)),0)</f>
        <v>-0.91699955733289873</v>
      </c>
      <c r="P9" s="37">
        <f>IFERROR(SUMPRODUCT('Slider Links'!$G$9:$K$9,'Slider Links'!$G$16:$K$16)/SQRT(SUMSQ('Slider Links'!$G$9:$K$9)*SUMSQ('Slider Links'!$G$16:$K$16)),0)</f>
        <v>0.18824194072678804</v>
      </c>
      <c r="Q9" s="37">
        <f>IFERROR(SUMPRODUCT('Slider Links'!$G$9:$K$9,'Slider Links'!$G$17:$K$17)/SQRT(SUMSQ('Slider Links'!$G$9:$K$9)*SUMSQ('Slider Links'!$G$17:$K$17)),0)</f>
        <v>8.6792607320549206E-2</v>
      </c>
    </row>
    <row r="10" spans="1:17" x14ac:dyDescent="0.2">
      <c r="A10" s="32" t="str">
        <f>'Slider Links'!A10</f>
        <v>Blood</v>
      </c>
      <c r="B10" s="37">
        <f>IFERROR(SUMPRODUCT('Slider Links'!$G$10:$K$10,'Slider Links'!$G$2:$K$2)/SQRT(SUMSQ('Slider Links'!$G$10:$K$10)*SUMSQ('Slider Links'!$G$2:$K$2)),0)</f>
        <v>0.81854529922961139</v>
      </c>
      <c r="C10" s="37">
        <f>IFERROR(SUMPRODUCT('Slider Links'!$G$10:$K$10,'Slider Links'!$G$3:$K$3)/SQRT(SUMSQ('Slider Links'!$G$10:$K$10)*SUMSQ('Slider Links'!$G$3:$K$3)),0)</f>
        <v>0.23328692334911774</v>
      </c>
      <c r="D10" s="37">
        <f>IFERROR(SUMPRODUCT('Slider Links'!$G$10:$K$10,'Slider Links'!$G$4:$K$4)/SQRT(SUMSQ('Slider Links'!$G$10:$K$10)*SUMSQ('Slider Links'!$G$4:$K$4)),0)</f>
        <v>0.27151049467368427</v>
      </c>
      <c r="E10" s="37">
        <f>IFERROR(SUMPRODUCT('Slider Links'!$G$10:$K$10,'Slider Links'!$G$5:$K$5)/SQRT(SUMSQ('Slider Links'!$G$10:$K$10)*SUMSQ('Slider Links'!$G$5:$K$5)),0)</f>
        <v>0.78018949760549394</v>
      </c>
      <c r="F10" s="37">
        <f>IFERROR(SUMPRODUCT('Slider Links'!$G$10:$K$10,'Slider Links'!$G$6:$K$6)/SQRT(SUMSQ('Slider Links'!$G$10:$K$10)*SUMSQ('Slider Links'!$G$6:$K$6)),0)</f>
        <v>0.1696751579473019</v>
      </c>
      <c r="G10" s="37">
        <f>IFERROR(SUMPRODUCT('Slider Links'!$G$10:$K$10,'Slider Links'!$G$7:$K$7)/SQRT(SUMSQ('Slider Links'!$G$10:$K$10)*SUMSQ('Slider Links'!$G$7:$K$7)),0)</f>
        <v>-0.42599555576733539</v>
      </c>
      <c r="H10" s="37">
        <f>IFERROR(SUMPRODUCT('Slider Links'!$G$10:$K$10,'Slider Links'!$G$8:$K$8)/SQRT(SUMSQ('Slider Links'!$G$10:$K$10)*SUMSQ('Slider Links'!$G$8:$K$8)),0)</f>
        <v>-0.13043478260869568</v>
      </c>
      <c r="I10" s="37">
        <f>IFERROR(SUMPRODUCT('Slider Links'!$G$10:$K$10,'Slider Links'!$G$9:$K$9)/SQRT(SUMSQ('Slider Links'!$G$10:$K$10)*SUMSQ('Slider Links'!$G$9:$K$9)),0)</f>
        <v>0.11517184622813058</v>
      </c>
      <c r="J10" s="37">
        <f>IFERROR(SUMPRODUCT('Slider Links'!$G$10:$K$10,'Slider Links'!$G$10:$K$10)/SQRT(SUMSQ('Slider Links'!$G$10:$K$10)*SUMSQ('Slider Links'!$G$10:$K$10)),0)</f>
        <v>1</v>
      </c>
      <c r="K10" s="37">
        <f>IFERROR(SUMPRODUCT('Slider Links'!$G$10:$K$10,'Slider Links'!$G$11:$K$11)/SQRT(SUMSQ('Slider Links'!$G$10:$K$10)*SUMSQ('Slider Links'!$G$11:$K$11)),0)</f>
        <v>0.72700489650148192</v>
      </c>
      <c r="L10" s="37">
        <f>IFERROR(SUMPRODUCT('Slider Links'!$G$10:$K$10,'Slider Links'!$G$12:$K$12)/SQRT(SUMSQ('Slider Links'!$G$10:$K$10)*SUMSQ('Slider Links'!$G$12:$K$12)),0)</f>
        <v>-0.54433615448127481</v>
      </c>
      <c r="M10" s="37">
        <f>IFERROR(SUMPRODUCT('Slider Links'!$G$10:$K$10,'Slider Links'!$G$13:$K$13)/SQRT(SUMSQ('Slider Links'!$G$10:$K$10)*SUMSQ('Slider Links'!$G$13:$K$13)),0)</f>
        <v>0.6570092027747082</v>
      </c>
      <c r="N10" s="37">
        <f>IFERROR(SUMPRODUCT('Slider Links'!$G$10:$K$10,'Slider Links'!$G$14:$K$14)/SQRT(SUMSQ('Slider Links'!$G$10:$K$10)*SUMSQ('Slider Links'!$G$14:$K$14)),0)</f>
        <v>0.2150661968096701</v>
      </c>
      <c r="O10" s="37">
        <f>IFERROR(SUMPRODUCT('Slider Links'!$G$10:$K$10,'Slider Links'!$G$15:$K$15)/SQRT(SUMSQ('Slider Links'!$G$10:$K$10)*SUMSQ('Slider Links'!$G$15:$K$15)),0)</f>
        <v>-0.24664926746130394</v>
      </c>
      <c r="P10" s="37">
        <f>IFERROR(SUMPRODUCT('Slider Links'!$G$10:$K$10,'Slider Links'!$G$16:$K$16)/SQRT(SUMSQ('Slider Links'!$G$10:$K$10)*SUMSQ('Slider Links'!$G$16:$K$16)),0)</f>
        <v>8.3752568638956984E-2</v>
      </c>
      <c r="Q10" s="37">
        <f>IFERROR(SUMPRODUCT('Slider Links'!$G$10:$K$10,'Slider Links'!$G$17:$K$17)/SQRT(SUMSQ('Slider Links'!$G$10:$K$10)*SUMSQ('Slider Links'!$G$17:$K$17)),0)</f>
        <v>7.0210455311855826E-3</v>
      </c>
    </row>
    <row r="11" spans="1:17" x14ac:dyDescent="0.2">
      <c r="A11" s="32" t="str">
        <f>'Slider Links'!A11</f>
        <v>Life</v>
      </c>
      <c r="B11" s="37">
        <f>IFERROR(SUMPRODUCT('Slider Links'!$G$11:$K$11,'Slider Links'!$G$2:$K$2)/SQRT(SUMSQ('Slider Links'!$G$11:$K$11)*SUMSQ('Slider Links'!$G$2:$K$2)),0)</f>
        <v>0.55586018657891689</v>
      </c>
      <c r="C11" s="37">
        <f>IFERROR(SUMPRODUCT('Slider Links'!$G$11:$K$11,'Slider Links'!$G$3:$K$3)/SQRT(SUMSQ('Slider Links'!$G$11:$K$11)*SUMSQ('Slider Links'!$G$3:$K$3)),0)</f>
        <v>0.30709336561458106</v>
      </c>
      <c r="D11" s="37">
        <f>IFERROR(SUMPRODUCT('Slider Links'!$G$11:$K$11,'Slider Links'!$G$4:$K$4)/SQRT(SUMSQ('Slider Links'!$G$11:$K$11)*SUMSQ('Slider Links'!$G$4:$K$4)),0)</f>
        <v>0.34187040335385305</v>
      </c>
      <c r="E11" s="37">
        <f>IFERROR(SUMPRODUCT('Slider Links'!$G$11:$K$11,'Slider Links'!$G$5:$K$5)/SQRT(SUMSQ('Slider Links'!$G$11:$K$11)*SUMSQ('Slider Links'!$G$5:$K$5)),0)</f>
        <v>0.34583425062254097</v>
      </c>
      <c r="F11" s="37">
        <f>IFERROR(SUMPRODUCT('Slider Links'!$G$11:$K$11,'Slider Links'!$G$6:$K$6)/SQRT(SUMSQ('Slider Links'!$G$11:$K$11)*SUMSQ('Slider Links'!$G$6:$K$6)),0)</f>
        <v>0.23399236492982003</v>
      </c>
      <c r="G11" s="37">
        <f>IFERROR(SUMPRODUCT('Slider Links'!$G$11:$K$11,'Slider Links'!$G$7:$K$7)/SQRT(SUMSQ('Slider Links'!$G$11:$K$11)*SUMSQ('Slider Links'!$G$7:$K$7)),0)</f>
        <v>-0.37339435593604553</v>
      </c>
      <c r="H11" s="37">
        <f>IFERROR(SUMPRODUCT('Slider Links'!$G$11:$K$11,'Slider Links'!$G$8:$K$8)/SQRT(SUMSQ('Slider Links'!$G$11:$K$11)*SUMSQ('Slider Links'!$G$8:$K$8)),0)</f>
        <v>-0.48716822961439532</v>
      </c>
      <c r="I11" s="37">
        <f>IFERROR(SUMPRODUCT('Slider Links'!$G$11:$K$11,'Slider Links'!$G$9:$K$9)/SQRT(SUMSQ('Slider Links'!$G$11:$K$11)*SUMSQ('Slider Links'!$G$9:$K$9)),0)</f>
        <v>9.265023972276043E-2</v>
      </c>
      <c r="J11" s="37">
        <f>IFERROR(SUMPRODUCT('Slider Links'!$G$11:$K$11,'Slider Links'!$G$10:$K$10)/SQRT(SUMSQ('Slider Links'!$G$11:$K$11)*SUMSQ('Slider Links'!$G$10:$K$10)),0)</f>
        <v>0.72700489650148192</v>
      </c>
      <c r="K11" s="37">
        <f>IFERROR(SUMPRODUCT('Slider Links'!$G$11:$K$11,'Slider Links'!$G$11:$K$11)/SQRT(SUMSQ('Slider Links'!$G$11:$K$11)*SUMSQ('Slider Links'!$G$11:$K$11)),0)</f>
        <v>1</v>
      </c>
      <c r="L11" s="37">
        <f>IFERROR(SUMPRODUCT('Slider Links'!$G$11:$K$11,'Slider Links'!$G$12:$K$12)/SQRT(SUMSQ('Slider Links'!$G$11:$K$11)*SUMSQ('Slider Links'!$G$12:$K$12)),0)</f>
        <v>-0.89934485644270168</v>
      </c>
      <c r="M11" s="37">
        <f>IFERROR(SUMPRODUCT('Slider Links'!$G$11:$K$11,'Slider Links'!$G$13:$K$13)/SQRT(SUMSQ('Slider Links'!$G$11:$K$11)*SUMSQ('Slider Links'!$G$13:$K$13)),0)</f>
        <v>0.94209196415881702</v>
      </c>
      <c r="N11" s="37">
        <f>IFERROR(SUMPRODUCT('Slider Links'!$G$11:$K$11,'Slider Links'!$G$14:$K$14)/SQRT(SUMSQ('Slider Links'!$G$11:$K$11)*SUMSQ('Slider Links'!$G$14:$K$14)),0)</f>
        <v>0.45971352174346669</v>
      </c>
      <c r="O11" s="37">
        <f>IFERROR(SUMPRODUCT('Slider Links'!$G$11:$K$11,'Slider Links'!$G$15:$K$15)/SQRT(SUMSQ('Slider Links'!$G$11:$K$11)*SUMSQ('Slider Links'!$G$15:$K$15)),0)</f>
        <v>-0.34909551160302954</v>
      </c>
      <c r="P11" s="37">
        <f>IFERROR(SUMPRODUCT('Slider Links'!$G$11:$K$11,'Slider Links'!$G$16:$K$16)/SQRT(SUMSQ('Slider Links'!$G$11:$K$11)*SUMSQ('Slider Links'!$G$16:$K$16)),0)</f>
        <v>-0.59849941552819985</v>
      </c>
      <c r="Q11" s="37">
        <f>IFERROR(SUMPRODUCT('Slider Links'!$G$11:$K$11,'Slider Links'!$G$17:$K$17)/SQRT(SUMSQ('Slider Links'!$G$11:$K$11)*SUMSQ('Slider Links'!$G$17:$K$17)),0)</f>
        <v>-0.63904162806043852</v>
      </c>
    </row>
    <row r="12" spans="1:17" x14ac:dyDescent="0.2">
      <c r="A12" s="32" t="str">
        <f>'Slider Links'!A12</f>
        <v>Death</v>
      </c>
      <c r="B12" s="37">
        <f>IFERROR(SUMPRODUCT('Slider Links'!$G$12:$K$12,'Slider Links'!$G$2:$K$2)/SQRT(SUMSQ('Slider Links'!$G$12:$K$12)*SUMSQ('Slider Links'!$G$2:$K$2)),0)</f>
        <v>-0.37910623241867936</v>
      </c>
      <c r="C12" s="37">
        <f>IFERROR(SUMPRODUCT('Slider Links'!$G$12:$K$12,'Slider Links'!$G$3:$K$3)/SQRT(SUMSQ('Slider Links'!$G$12:$K$12)*SUMSQ('Slider Links'!$G$3:$K$3)),0)</f>
        <v>-0.55172413793103448</v>
      </c>
      <c r="D12" s="37">
        <f>IFERROR(SUMPRODUCT('Slider Links'!$G$12:$K$12,'Slider Links'!$G$4:$K$4)/SQRT(SUMSQ('Slider Links'!$G$12:$K$12)*SUMSQ('Slider Links'!$G$4:$K$4)),0)</f>
        <v>4.6065343970487879E-2</v>
      </c>
      <c r="E12" s="37">
        <f>IFERROR(SUMPRODUCT('Slider Links'!$G$12:$K$12,'Slider Links'!$G$5:$K$5)/SQRT(SUMSQ('Slider Links'!$G$12:$K$12)*SUMSQ('Slider Links'!$G$5:$K$5)),0)</f>
        <v>-0.3261961693317374</v>
      </c>
      <c r="F12" s="37">
        <f>IFERROR(SUMPRODUCT('Slider Links'!$G$12:$K$12,'Slider Links'!$G$6:$K$6)/SQRT(SUMSQ('Slider Links'!$G$12:$K$12)*SUMSQ('Slider Links'!$G$6:$K$6)),0)</f>
        <v>-0.53599831225710648</v>
      </c>
      <c r="G12" s="37">
        <f>IFERROR(SUMPRODUCT('Slider Links'!$G$12:$K$12,'Slider Links'!$G$7:$K$7)/SQRT(SUMSQ('Slider Links'!$G$12:$K$12)*SUMSQ('Slider Links'!$G$7:$K$7)),0)</f>
        <v>0.60576900737836814</v>
      </c>
      <c r="H12" s="37">
        <f>IFERROR(SUMPRODUCT('Slider Links'!$G$12:$K$12,'Slider Links'!$G$8:$K$8)/SQRT(SUMSQ('Slider Links'!$G$12:$K$12)*SUMSQ('Slider Links'!$G$8:$K$8)),0)</f>
        <v>0.48778174882088265</v>
      </c>
      <c r="I12" s="37">
        <f>IFERROR(SUMPRODUCT('Slider Links'!$G$12:$K$12,'Slider Links'!$G$9:$K$9)/SQRT(SUMSQ('Slider Links'!$G$12:$K$12)*SUMSQ('Slider Links'!$G$9:$K$9)),0)</f>
        <v>0.23719905928747984</v>
      </c>
      <c r="J12" s="37">
        <f>IFERROR(SUMPRODUCT('Slider Links'!$G$12:$K$12,'Slider Links'!$G$10:$K$10)/SQRT(SUMSQ('Slider Links'!$G$12:$K$12)*SUMSQ('Slider Links'!$G$10:$K$10)),0)</f>
        <v>-0.54433615448127481</v>
      </c>
      <c r="K12" s="37">
        <f>IFERROR(SUMPRODUCT('Slider Links'!$G$12:$K$12,'Slider Links'!$G$11:$K$11)/SQRT(SUMSQ('Slider Links'!$G$12:$K$12)*SUMSQ('Slider Links'!$G$11:$K$11)),0)</f>
        <v>-0.89934485644270168</v>
      </c>
      <c r="L12" s="37">
        <f>IFERROR(SUMPRODUCT('Slider Links'!$G$12:$K$12,'Slider Links'!$G$12:$K$12)/SQRT(SUMSQ('Slider Links'!$G$12:$K$12)*SUMSQ('Slider Links'!$G$12:$K$12)),0)</f>
        <v>1</v>
      </c>
      <c r="M12" s="37">
        <f>IFERROR(SUMPRODUCT('Slider Links'!$G$12:$K$12,'Slider Links'!$G$13:$K$13)/SQRT(SUMSQ('Slider Links'!$G$12:$K$12)*SUMSQ('Slider Links'!$G$13:$K$13)),0)</f>
        <v>-0.72835704072922969</v>
      </c>
      <c r="N12" s="37">
        <f>IFERROR(SUMPRODUCT('Slider Links'!$G$12:$K$12,'Slider Links'!$G$14:$K$14)/SQRT(SUMSQ('Slider Links'!$G$12:$K$12)*SUMSQ('Slider Links'!$G$14:$K$14)),0)</f>
        <v>-0.68538172186823643</v>
      </c>
      <c r="O12" s="37">
        <f>IFERROR(SUMPRODUCT('Slider Links'!$G$12:$K$12,'Slider Links'!$G$15:$K$15)/SQRT(SUMSQ('Slider Links'!$G$12:$K$12)*SUMSQ('Slider Links'!$G$15:$K$15)),0)</f>
        <v>7.5985901701682804E-2</v>
      </c>
      <c r="P12" s="37">
        <f>IFERROR(SUMPRODUCT('Slider Links'!$G$12:$K$12,'Slider Links'!$G$16:$K$16)/SQRT(SUMSQ('Slider Links'!$G$12:$K$12)*SUMSQ('Slider Links'!$G$16:$K$16)),0)</f>
        <v>0.72792572565404323</v>
      </c>
      <c r="Q12" s="37">
        <f>IFERROR(SUMPRODUCT('Slider Links'!$G$12:$K$12,'Slider Links'!$G$17:$K$17)/SQRT(SUMSQ('Slider Links'!$G$12:$K$12)*SUMSQ('Slider Links'!$G$17:$K$17)),0)</f>
        <v>0.63015176766650483</v>
      </c>
    </row>
    <row r="13" spans="1:17" x14ac:dyDescent="0.2">
      <c r="A13" s="32" t="str">
        <f>'Slider Links'!A13</f>
        <v>Nature</v>
      </c>
      <c r="B13" s="37">
        <f>IFERROR(SUMPRODUCT('Slider Links'!$G$13:$K$13,'Slider Links'!$G$2:$K$2)/SQRT(SUMSQ('Slider Links'!$G$13:$K$13)*SUMSQ('Slider Links'!$G$2:$K$2)),0)</f>
        <v>0.57927435714158759</v>
      </c>
      <c r="C13" s="37">
        <f>IFERROR(SUMPRODUCT('Slider Links'!$G$13:$K$13,'Slider Links'!$G$3:$K$3)/SQRT(SUMSQ('Slider Links'!$G$13:$K$13)*SUMSQ('Slider Links'!$G$3:$K$3)),0)</f>
        <v>0</v>
      </c>
      <c r="D13" s="37">
        <f>IFERROR(SUMPRODUCT('Slider Links'!$G$13:$K$13,'Slider Links'!$G$4:$K$4)/SQRT(SUMSQ('Slider Links'!$G$13:$K$13)*SUMSQ('Slider Links'!$G$4:$K$4)),0)</f>
        <v>0.53515468095157182</v>
      </c>
      <c r="E13" s="37">
        <f>IFERROR(SUMPRODUCT('Slider Links'!$G$13:$K$13,'Slider Links'!$G$5:$K$5)/SQRT(SUMSQ('Slider Links'!$G$13:$K$13)*SUMSQ('Slider Links'!$G$5:$K$5)),0)</f>
        <v>0.2296677007052858</v>
      </c>
      <c r="F13" s="37">
        <f>IFERROR(SUMPRODUCT('Slider Links'!$G$13:$K$13,'Slider Links'!$G$6:$K$6)/SQRT(SUMSQ('Slider Links'!$G$13:$K$13)*SUMSQ('Slider Links'!$G$6:$K$6)),0)</f>
        <v>-6.6597330541129318E-2</v>
      </c>
      <c r="G13" s="37">
        <f>IFERROR(SUMPRODUCT('Slider Links'!$G$13:$K$13,'Slider Links'!$G$7:$K$7)/SQRT(SUMSQ('Slider Links'!$G$13:$K$13)*SUMSQ('Slider Links'!$G$7:$K$7)),0)</f>
        <v>-6.6951981239693772E-2</v>
      </c>
      <c r="H13" s="37">
        <f>IFERROR(SUMPRODUCT('Slider Links'!$G$13:$K$13,'Slider Links'!$G$8:$K$8)/SQRT(SUMSQ('Slider Links'!$G$13:$K$13)*SUMSQ('Slider Links'!$G$8:$K$8)),0)</f>
        <v>-0.41809676540208718</v>
      </c>
      <c r="I13" s="37">
        <f>IFERROR(SUMPRODUCT('Slider Links'!$G$13:$K$13,'Slider Links'!$G$9:$K$9)/SQRT(SUMSQ('Slider Links'!$G$13:$K$13)*SUMSQ('Slider Links'!$G$9:$K$9)),0)</f>
        <v>0.25051012708525966</v>
      </c>
      <c r="J13" s="37">
        <f>IFERROR(SUMPRODUCT('Slider Links'!$G$13:$K$13,'Slider Links'!$G$10:$K$10)/SQRT(SUMSQ('Slider Links'!$G$13:$K$13)*SUMSQ('Slider Links'!$G$10:$K$10)),0)</f>
        <v>0.6570092027747082</v>
      </c>
      <c r="K13" s="37">
        <f>IFERROR(SUMPRODUCT('Slider Links'!$G$13:$K$13,'Slider Links'!$G$11:$K$11)/SQRT(SUMSQ('Slider Links'!$G$13:$K$13)*SUMSQ('Slider Links'!$G$11:$K$11)),0)</f>
        <v>0.94209196415881702</v>
      </c>
      <c r="L13" s="37">
        <f>IFERROR(SUMPRODUCT('Slider Links'!$G$13:$K$13,'Slider Links'!$G$12:$K$12)/SQRT(SUMSQ('Slider Links'!$G$13:$K$13)*SUMSQ('Slider Links'!$G$12:$K$12)),0)</f>
        <v>-0.72835704072922969</v>
      </c>
      <c r="M13" s="37">
        <f>IFERROR(SUMPRODUCT('Slider Links'!$G$13:$K$13,'Slider Links'!$G$13:$K$13)/SQRT(SUMSQ('Slider Links'!$G$13:$K$13)*SUMSQ('Slider Links'!$G$13:$K$13)),0)</f>
        <v>1</v>
      </c>
      <c r="N13" s="37">
        <f>IFERROR(SUMPRODUCT('Slider Links'!$G$13:$K$13,'Slider Links'!$G$14:$K$14)/SQRT(SUMSQ('Slider Links'!$G$13:$K$13)*SUMSQ('Slider Links'!$G$14:$K$14)),0)</f>
        <v>0.23635715067078736</v>
      </c>
      <c r="O13" s="37">
        <f>IFERROR(SUMPRODUCT('Slider Links'!$G$13:$K$13,'Slider Links'!$G$15:$K$15)/SQRT(SUMSQ('Slider Links'!$G$13:$K$13)*SUMSQ('Slider Links'!$G$15:$K$15)),0)</f>
        <v>-0.45475031974643088</v>
      </c>
      <c r="P13" s="37">
        <f>IFERROR(SUMPRODUCT('Slider Links'!$G$13:$K$13,'Slider Links'!$G$16:$K$16)/SQRT(SUMSQ('Slider Links'!$G$13:$K$13)*SUMSQ('Slider Links'!$G$16:$K$16)),0)</f>
        <v>-0.56481446919797018</v>
      </c>
      <c r="Q13" s="37">
        <f>IFERROR(SUMPRODUCT('Slider Links'!$G$13:$K$13,'Slider Links'!$G$17:$K$17)/SQRT(SUMSQ('Slider Links'!$G$13:$K$13)*SUMSQ('Slider Links'!$G$17:$K$17)),0)</f>
        <v>-0.70891755695856673</v>
      </c>
    </row>
    <row r="14" spans="1:17" x14ac:dyDescent="0.2">
      <c r="A14" s="32" t="str">
        <f>'Slider Links'!A14</f>
        <v>Light</v>
      </c>
      <c r="B14" s="37">
        <f>IFERROR(SUMPRODUCT('Slider Links'!$G$14:$K$14,'Slider Links'!$G$2:$K$2)/SQRT(SUMSQ('Slider Links'!$G$14:$K$14)*SUMSQ('Slider Links'!$G$2:$K$2)),0)</f>
        <v>0.22085196882000854</v>
      </c>
      <c r="C14" s="37">
        <f>IFERROR(SUMPRODUCT('Slider Links'!$G$14:$K$14,'Slider Links'!$G$3:$K$3)/SQRT(SUMSQ('Slider Links'!$G$14:$K$14)*SUMSQ('Slider Links'!$G$3:$K$3)),0)</f>
        <v>0.78329339642084161</v>
      </c>
      <c r="D14" s="37">
        <f>IFERROR(SUMPRODUCT('Slider Links'!$G$14:$K$14,'Slider Links'!$G$4:$K$4)/SQRT(SUMSQ('Slider Links'!$G$14:$K$14)*SUMSQ('Slider Links'!$G$4:$K$4)),0)</f>
        <v>-0.31532073921025994</v>
      </c>
      <c r="E14" s="37">
        <f>IFERROR(SUMPRODUCT('Slider Links'!$G$14:$K$14,'Slider Links'!$G$5:$K$5)/SQRT(SUMSQ('Slider Links'!$G$14:$K$14)*SUMSQ('Slider Links'!$G$5:$K$5)),0)</f>
        <v>0.3491679693993151</v>
      </c>
      <c r="F14" s="37">
        <f>IFERROR(SUMPRODUCT('Slider Links'!$G$14:$K$14,'Slider Links'!$G$6:$K$6)/SQRT(SUMSQ('Slider Links'!$G$14:$K$14)*SUMSQ('Slider Links'!$G$6:$K$6)),0)</f>
        <v>0.91124216165121985</v>
      </c>
      <c r="G14" s="37">
        <f>IFERROR(SUMPRODUCT('Slider Links'!$G$14:$K$14,'Slider Links'!$G$7:$K$7)/SQRT(SUMSQ('Slider Links'!$G$14:$K$14)*SUMSQ('Slider Links'!$G$7:$K$7)),0)</f>
        <v>-0.42143932256883188</v>
      </c>
      <c r="H14" s="37">
        <f>IFERROR(SUMPRODUCT('Slider Links'!$G$14:$K$14,'Slider Links'!$G$8:$K$8)/SQRT(SUMSQ('Slider Links'!$G$14:$K$14)*SUMSQ('Slider Links'!$G$8:$K$8)),0)</f>
        <v>-0.75990056206083456</v>
      </c>
      <c r="I14" s="37">
        <f>IFERROR(SUMPRODUCT('Slider Links'!$G$14:$K$14,'Slider Links'!$G$9:$K$9)/SQRT(SUMSQ('Slider Links'!$G$14:$K$14)*SUMSQ('Slider Links'!$G$9:$K$9)),0)</f>
        <v>-0.13293003075336618</v>
      </c>
      <c r="J14" s="37">
        <f>IFERROR(SUMPRODUCT('Slider Links'!$G$14:$K$14,'Slider Links'!$G$10:$K$10)/SQRT(SUMSQ('Slider Links'!$G$14:$K$14)*SUMSQ('Slider Links'!$G$10:$K$10)),0)</f>
        <v>0.2150661968096701</v>
      </c>
      <c r="K14" s="37">
        <f>IFERROR(SUMPRODUCT('Slider Links'!$G$14:$K$14,'Slider Links'!$G$11:$K$11)/SQRT(SUMSQ('Slider Links'!$G$14:$K$14)*SUMSQ('Slider Links'!$G$11:$K$11)),0)</f>
        <v>0.45971352174346669</v>
      </c>
      <c r="L14" s="37">
        <f>IFERROR(SUMPRODUCT('Slider Links'!$G$14:$K$14,'Slider Links'!$G$12:$K$12)/SQRT(SUMSQ('Slider Links'!$G$14:$K$14)*SUMSQ('Slider Links'!$G$12:$K$12)),0)</f>
        <v>-0.68538172186823643</v>
      </c>
      <c r="M14" s="37">
        <f>IFERROR(SUMPRODUCT('Slider Links'!$G$14:$K$14,'Slider Links'!$G$13:$K$13)/SQRT(SUMSQ('Slider Links'!$G$14:$K$14)*SUMSQ('Slider Links'!$G$13:$K$13)),0)</f>
        <v>0.23635715067078736</v>
      </c>
      <c r="N14" s="37">
        <f>IFERROR(SUMPRODUCT('Slider Links'!$G$14:$K$14,'Slider Links'!$G$14:$K$14)/SQRT(SUMSQ('Slider Links'!$G$14:$K$14)*SUMSQ('Slider Links'!$G$14:$K$14)),0)</f>
        <v>1</v>
      </c>
      <c r="O14" s="37">
        <f>IFERROR(SUMPRODUCT('Slider Links'!$G$14:$K$14,'Slider Links'!$G$15:$K$15)/SQRT(SUMSQ('Slider Links'!$G$14:$K$14)*SUMSQ('Slider Links'!$G$15:$K$15)),0)</f>
        <v>-0.2311685351379012</v>
      </c>
      <c r="P14" s="37">
        <f>IFERROR(SUMPRODUCT('Slider Links'!$G$14:$K$14,'Slider Links'!$G$16:$K$16)/SQRT(SUMSQ('Slider Links'!$G$14:$K$14)*SUMSQ('Slider Links'!$G$16:$K$16)),0)</f>
        <v>-0.54233537555139077</v>
      </c>
      <c r="Q14" s="37">
        <f>IFERROR(SUMPRODUCT('Slider Links'!$G$14:$K$14,'Slider Links'!$G$17:$K$17)/SQRT(SUMSQ('Slider Links'!$G$14:$K$14)*SUMSQ('Slider Links'!$G$17:$K$17)),0)</f>
        <v>-0.22227046323488686</v>
      </c>
    </row>
    <row r="15" spans="1:17" x14ac:dyDescent="0.2">
      <c r="A15" s="32" t="str">
        <f>'Slider Links'!A15</f>
        <v>Dream</v>
      </c>
      <c r="B15" s="37">
        <f>IFERROR(SUMPRODUCT('Slider Links'!$G$15:$K$15,'Slider Links'!$G$2:$K$2)/SQRT(SUMSQ('Slider Links'!$G$15:$K$15)*SUMSQ('Slider Links'!$G$2:$K$2)),0)</f>
        <v>-0.17774364647250457</v>
      </c>
      <c r="C15" s="37">
        <f>IFERROR(SUMPRODUCT('Slider Links'!$G$15:$K$15,'Slider Links'!$G$3:$K$3)/SQRT(SUMSQ('Slider Links'!$G$15:$K$15)*SUMSQ('Slider Links'!$G$3:$K$3)),0)</f>
        <v>-0.1139788525525242</v>
      </c>
      <c r="D15" s="37">
        <f>IFERROR(SUMPRODUCT('Slider Links'!$G$15:$K$15,'Slider Links'!$G$4:$K$4)/SQRT(SUMSQ('Slider Links'!$G$15:$K$15)*SUMSQ('Slider Links'!$G$4:$K$4)),0)</f>
        <v>-0.78246662870995509</v>
      </c>
      <c r="E15" s="37">
        <f>IFERROR(SUMPRODUCT('Slider Links'!$G$15:$K$15,'Slider Links'!$G$5:$K$5)/SQRT(SUMSQ('Slider Links'!$G$15:$K$15)*SUMSQ('Slider Links'!$G$5:$K$5)),0)</f>
        <v>6.6555832563972142E-2</v>
      </c>
      <c r="F15" s="37">
        <f>IFERROR(SUMPRODUCT('Slider Links'!$G$15:$K$15,'Slider Links'!$G$6:$K$6)/SQRT(SUMSQ('Slider Links'!$G$15:$K$15)*SUMSQ('Slider Links'!$G$6:$K$6)),0)</f>
        <v>-1.447452373720165E-2</v>
      </c>
      <c r="G15" s="37">
        <f>IFERROR(SUMPRODUCT('Slider Links'!$G$15:$K$15,'Slider Links'!$G$7:$K$7)/SQRT(SUMSQ('Slider Links'!$G$15:$K$15)*SUMSQ('Slider Links'!$G$7:$K$7)),0)</f>
        <v>-0.36217327761478568</v>
      </c>
      <c r="H15" s="37">
        <f>IFERROR(SUMPRODUCT('Slider Links'!$G$15:$K$15,'Slider Links'!$G$8:$K$8)/SQRT(SUMSQ('Slider Links'!$G$15:$K$15)*SUMSQ('Slider Links'!$G$8:$K$8)),0)</f>
        <v>0.76591088316931233</v>
      </c>
      <c r="I15" s="37">
        <f>IFERROR(SUMPRODUCT('Slider Links'!$G$15:$K$15,'Slider Links'!$G$9:$K$9)/SQRT(SUMSQ('Slider Links'!$G$15:$K$15)*SUMSQ('Slider Links'!$G$9:$K$9)),0)</f>
        <v>-0.91699955733289873</v>
      </c>
      <c r="J15" s="37">
        <f>IFERROR(SUMPRODUCT('Slider Links'!$G$15:$K$15,'Slider Links'!$G$10:$K$10)/SQRT(SUMSQ('Slider Links'!$G$15:$K$15)*SUMSQ('Slider Links'!$G$10:$K$10)),0)</f>
        <v>-0.24664926746130394</v>
      </c>
      <c r="K15" s="37">
        <f>IFERROR(SUMPRODUCT('Slider Links'!$G$15:$K$15,'Slider Links'!$G$11:$K$11)/SQRT(SUMSQ('Slider Links'!$G$15:$K$15)*SUMSQ('Slider Links'!$G$11:$K$11)),0)</f>
        <v>-0.34909551160302954</v>
      </c>
      <c r="L15" s="37">
        <f>IFERROR(SUMPRODUCT('Slider Links'!$G$15:$K$15,'Slider Links'!$G$12:$K$12)/SQRT(SUMSQ('Slider Links'!$G$15:$K$15)*SUMSQ('Slider Links'!$G$12:$K$12)),0)</f>
        <v>7.5985901701682804E-2</v>
      </c>
      <c r="M15" s="37">
        <f>IFERROR(SUMPRODUCT('Slider Links'!$G$15:$K$15,'Slider Links'!$G$13:$K$13)/SQRT(SUMSQ('Slider Links'!$G$15:$K$15)*SUMSQ('Slider Links'!$G$13:$K$13)),0)</f>
        <v>-0.45475031974643088</v>
      </c>
      <c r="N15" s="37">
        <f>IFERROR(SUMPRODUCT('Slider Links'!$G$15:$K$15,'Slider Links'!$G$14:$K$14)/SQRT(SUMSQ('Slider Links'!$G$15:$K$15)*SUMSQ('Slider Links'!$G$14:$K$14)),0)</f>
        <v>-0.2311685351379012</v>
      </c>
      <c r="O15" s="37">
        <f>IFERROR(SUMPRODUCT('Slider Links'!$G$15:$K$15,'Slider Links'!$G$15:$K$15)/SQRT(SUMSQ('Slider Links'!$G$15:$K$15)*SUMSQ('Slider Links'!$G$15:$K$15)),0)</f>
        <v>1</v>
      </c>
      <c r="P15" s="37">
        <f>IFERROR(SUMPRODUCT('Slider Links'!$G$15:$K$15,'Slider Links'!$G$16:$K$16)/SQRT(SUMSQ('Slider Links'!$G$15:$K$15)*SUMSQ('Slider Links'!$G$16:$K$16)),0)</f>
        <v>9.5479207525866291E-2</v>
      </c>
      <c r="Q15" s="37">
        <f>IFERROR(SUMPRODUCT('Slider Links'!$G$15:$K$15,'Slider Links'!$G$17:$K$17)/SQRT(SUMSQ('Slider Links'!$G$15:$K$15)*SUMSQ('Slider Links'!$G$17:$K$17)),0)</f>
        <v>0.11320083081329448</v>
      </c>
    </row>
    <row r="16" spans="1:17" x14ac:dyDescent="0.2">
      <c r="A16" s="32" t="str">
        <f>'Slider Links'!A16</f>
        <v>Poison</v>
      </c>
      <c r="B16" s="37">
        <f>IFERROR(SUMPRODUCT('Slider Links'!$G$16:$K$16,'Slider Links'!$G$2:$K$2)/SQRT(SUMSQ('Slider Links'!$G$16:$K$16)*SUMSQ('Slider Links'!$G$2:$K$2)),0)</f>
        <v>1.7374889710522739E-2</v>
      </c>
      <c r="C16" s="37">
        <f>IFERROR(SUMPRODUCT('Slider Links'!$G$16:$K$16,'Slider Links'!$G$3:$K$3)/SQRT(SUMSQ('Slider Links'!$G$16:$K$16)*SUMSQ('Slider Links'!$G$3:$K$3)),0)</f>
        <v>-0.20055096523121602</v>
      </c>
      <c r="D16" s="37">
        <f>IFERROR(SUMPRODUCT('Slider Links'!$G$16:$K$16,'Slider Links'!$G$4:$K$4)/SQRT(SUMSQ('Slider Links'!$G$16:$K$16)*SUMSQ('Slider Links'!$G$4:$K$4)),0)</f>
        <v>3.7210420376762532E-2</v>
      </c>
      <c r="E16" s="37">
        <f>IFERROR(SUMPRODUCT('Slider Links'!$G$16:$K$16,'Slider Links'!$G$5:$K$5)/SQRT(SUMSQ('Slider Links'!$G$16:$K$16)*SUMSQ('Slider Links'!$G$5:$K$5)),0)</f>
        <v>0.23421601750764792</v>
      </c>
      <c r="F16" s="37">
        <f>IFERROR(SUMPRODUCT('Slider Links'!$G$16:$K$16,'Slider Links'!$G$6:$K$6)/SQRT(SUMSQ('Slider Links'!$G$16:$K$16)*SUMSQ('Slider Links'!$G$6:$K$6)),0)</f>
        <v>-0.26317534318636554</v>
      </c>
      <c r="G16" s="37">
        <f>IFERROR(SUMPRODUCT('Slider Links'!$G$16:$K$16,'Slider Links'!$G$7:$K$7)/SQRT(SUMSQ('Slider Links'!$G$16:$K$16)*SUMSQ('Slider Links'!$G$7:$K$7)),0)</f>
        <v>8.3450756599196985E-2</v>
      </c>
      <c r="H16" s="37">
        <f>IFERROR(SUMPRODUCT('Slider Links'!$G$16:$K$16,'Slider Links'!$G$8:$K$8)/SQRT(SUMSQ('Slider Links'!$G$16:$K$16)*SUMSQ('Slider Links'!$G$8:$K$8)),0)</f>
        <v>0.52535702146254781</v>
      </c>
      <c r="I16" s="37">
        <f>IFERROR(SUMPRODUCT('Slider Links'!$G$16:$K$16,'Slider Links'!$G$9:$K$9)/SQRT(SUMSQ('Slider Links'!$G$16:$K$16)*SUMSQ('Slider Links'!$G$9:$K$9)),0)</f>
        <v>0.18824194072678804</v>
      </c>
      <c r="J16" s="37">
        <f>IFERROR(SUMPRODUCT('Slider Links'!$G$16:$K$16,'Slider Links'!$G$10:$K$10)/SQRT(SUMSQ('Slider Links'!$G$16:$K$16)*SUMSQ('Slider Links'!$G$10:$K$10)),0)</f>
        <v>8.3752568638956984E-2</v>
      </c>
      <c r="K16" s="37">
        <f>IFERROR(SUMPRODUCT('Slider Links'!$G$16:$K$16,'Slider Links'!$G$11:$K$11)/SQRT(SUMSQ('Slider Links'!$G$16:$K$16)*SUMSQ('Slider Links'!$G$11:$K$11)),0)</f>
        <v>-0.59849941552819985</v>
      </c>
      <c r="L16" s="37">
        <f>IFERROR(SUMPRODUCT('Slider Links'!$G$16:$K$16,'Slider Links'!$G$12:$K$12)/SQRT(SUMSQ('Slider Links'!$G$16:$K$16)*SUMSQ('Slider Links'!$G$12:$K$12)),0)</f>
        <v>0.72792572565404323</v>
      </c>
      <c r="M16" s="37">
        <f>IFERROR(SUMPRODUCT('Slider Links'!$G$16:$K$16,'Slider Links'!$G$13:$K$13)/SQRT(SUMSQ('Slider Links'!$G$16:$K$16)*SUMSQ('Slider Links'!$G$13:$K$13)),0)</f>
        <v>-0.56481446919797018</v>
      </c>
      <c r="N16" s="37">
        <f>IFERROR(SUMPRODUCT('Slider Links'!$G$16:$K$16,'Slider Links'!$G$14:$K$14)/SQRT(SUMSQ('Slider Links'!$G$16:$K$16)*SUMSQ('Slider Links'!$G$14:$K$14)),0)</f>
        <v>-0.54233537555139077</v>
      </c>
      <c r="O16" s="37">
        <f>IFERROR(SUMPRODUCT('Slider Links'!$G$16:$K$16,'Slider Links'!$G$15:$K$15)/SQRT(SUMSQ('Slider Links'!$G$16:$K$16)*SUMSQ('Slider Links'!$G$15:$K$15)),0)</f>
        <v>9.5479207525866291E-2</v>
      </c>
      <c r="P16" s="37">
        <f>IFERROR(SUMPRODUCT('Slider Links'!$G$16:$K$16,'Slider Links'!$G$16:$K$16)/SQRT(SUMSQ('Slider Links'!$G$16:$K$16)*SUMSQ('Slider Links'!$G$16:$K$16)),0)</f>
        <v>1</v>
      </c>
      <c r="Q16" s="37">
        <f>IFERROR(SUMPRODUCT('Slider Links'!$G$16:$K$16,'Slider Links'!$G$17:$K$17)/SQRT(SUMSQ('Slider Links'!$G$16:$K$16)*SUMSQ('Slider Links'!$G$17:$K$17)),0)</f>
        <v>0.92213889195414689</v>
      </c>
    </row>
    <row r="17" spans="1:17" x14ac:dyDescent="0.2">
      <c r="A17" s="32" t="str">
        <f>'Slider Links'!A17</f>
        <v>Disease</v>
      </c>
      <c r="B17" s="37">
        <f>IFERROR(SUMPRODUCT('Slider Links'!$G$17:$K$17,'Slider Links'!$G$2:$K$2)/SQRT(SUMSQ('Slider Links'!$G$17:$K$17)*SUMSQ('Slider Links'!$G$2:$K$2)),0)</f>
        <v>-6.408824618194793E-2</v>
      </c>
      <c r="C17" s="37">
        <f>IFERROR(SUMPRODUCT('Slider Links'!$G$17:$K$17,'Slider Links'!$G$3:$K$3)/SQRT(SUMSQ('Slider Links'!$G$17:$K$17)*SUMSQ('Slider Links'!$G$3:$K$3)),0)</f>
        <v>0.11644108750359328</v>
      </c>
      <c r="D17" s="37">
        <f>IFERROR(SUMPRODUCT('Slider Links'!$G$17:$K$17,'Slider Links'!$G$4:$K$4)/SQRT(SUMSQ('Slider Links'!$G$17:$K$17)*SUMSQ('Slider Links'!$G$4:$K$4)),0)</f>
        <v>-0.19444132962046287</v>
      </c>
      <c r="E17" s="37">
        <f>IFERROR(SUMPRODUCT('Slider Links'!$G$17:$K$17,'Slider Links'!$G$5:$K$5)/SQRT(SUMSQ('Slider Links'!$G$17:$K$17)*SUMSQ('Slider Links'!$G$5:$K$5)),0)</f>
        <v>0.28797293181655403</v>
      </c>
      <c r="F17" s="37">
        <f>IFERROR(SUMPRODUCT('Slider Links'!$G$17:$K$17,'Slider Links'!$G$6:$K$6)/SQRT(SUMSQ('Slider Links'!$G$17:$K$17)*SUMSQ('Slider Links'!$G$6:$K$6)),0)</f>
        <v>0.10177080166522119</v>
      </c>
      <c r="G17" s="37">
        <f>IFERROR(SUMPRODUCT('Slider Links'!$G$17:$K$17,'Slider Links'!$G$7:$K$7)/SQRT(SUMSQ('Slider Links'!$G$17:$K$17)*SUMSQ('Slider Links'!$G$7:$K$7)),0)</f>
        <v>-8.394893260703859E-2</v>
      </c>
      <c r="H17" s="37">
        <f>IFERROR(SUMPRODUCT('Slider Links'!$G$17:$K$17,'Slider Links'!$G$8:$K$8)/SQRT(SUMSQ('Slider Links'!$G$17:$K$17)*SUMSQ('Slider Links'!$G$8:$K$8)),0)</f>
        <v>0.32998913996572221</v>
      </c>
      <c r="I17" s="37">
        <f>IFERROR(SUMPRODUCT('Slider Links'!$G$17:$K$17,'Slider Links'!$G$9:$K$9)/SQRT(SUMSQ('Slider Links'!$G$17:$K$17)*SUMSQ('Slider Links'!$G$9:$K$9)),0)</f>
        <v>8.6792607320549206E-2</v>
      </c>
      <c r="J17" s="37">
        <f>IFERROR(SUMPRODUCT('Slider Links'!$G$17:$K$17,'Slider Links'!$G$10:$K$10)/SQRT(SUMSQ('Slider Links'!$G$17:$K$17)*SUMSQ('Slider Links'!$G$10:$K$10)),0)</f>
        <v>7.0210455311855826E-3</v>
      </c>
      <c r="K17" s="37">
        <f>IFERROR(SUMPRODUCT('Slider Links'!$G$17:$K$17,'Slider Links'!$G$11:$K$11)/SQRT(SUMSQ('Slider Links'!$G$17:$K$17)*SUMSQ('Slider Links'!$G$11:$K$11)),0)</f>
        <v>-0.63904162806043852</v>
      </c>
      <c r="L17" s="37">
        <f>IFERROR(SUMPRODUCT('Slider Links'!$G$17:$K$17,'Slider Links'!$G$12:$K$12)/SQRT(SUMSQ('Slider Links'!$G$17:$K$17)*SUMSQ('Slider Links'!$G$12:$K$12)),0)</f>
        <v>0.63015176766650483</v>
      </c>
      <c r="M17" s="37">
        <f>IFERROR(SUMPRODUCT('Slider Links'!$G$17:$K$17,'Slider Links'!$G$13:$K$13)/SQRT(SUMSQ('Slider Links'!$G$17:$K$17)*SUMSQ('Slider Links'!$G$13:$K$13)),0)</f>
        <v>-0.70891755695856673</v>
      </c>
      <c r="N17" s="37">
        <f>IFERROR(SUMPRODUCT('Slider Links'!$G$17:$K$17,'Slider Links'!$G$14:$K$14)/SQRT(SUMSQ('Slider Links'!$G$17:$K$17)*SUMSQ('Slider Links'!$G$14:$K$14)),0)</f>
        <v>-0.22227046323488686</v>
      </c>
      <c r="O17" s="37">
        <f>IFERROR(SUMPRODUCT('Slider Links'!$G$17:$K$17,'Slider Links'!$G$15:$K$15)/SQRT(SUMSQ('Slider Links'!$G$17:$K$17)*SUMSQ('Slider Links'!$G$15:$K$15)),0)</f>
        <v>0.11320083081329448</v>
      </c>
      <c r="P17" s="37">
        <f>IFERROR(SUMPRODUCT('Slider Links'!$G$17:$K$17,'Slider Links'!$G$16:$K$16)/SQRT(SUMSQ('Slider Links'!$G$17:$K$17)*SUMSQ('Slider Links'!$G$16:$K$16)),0)</f>
        <v>0.92213889195414689</v>
      </c>
      <c r="Q17" s="37">
        <f>IFERROR(SUMPRODUCT('Slider Links'!$G$17:$K$17,'Slider Links'!$G$17:$K$17)/SQRT(SUMSQ('Slider Links'!$G$17:$K$17)*SUMSQ('Slider Links'!$G$17:$K$17)),0)</f>
        <v>1</v>
      </c>
    </row>
    <row r="19" spans="1:17" x14ac:dyDescent="0.2">
      <c r="A19" s="32" t="s">
        <v>1060</v>
      </c>
      <c r="B19" s="39">
        <v>-0.7</v>
      </c>
    </row>
    <row r="20" spans="1:17" x14ac:dyDescent="0.2">
      <c r="A20" s="32" t="s">
        <v>1061</v>
      </c>
      <c r="B20" s="39">
        <v>0</v>
      </c>
    </row>
    <row r="21" spans="1:17" x14ac:dyDescent="0.2">
      <c r="A21" s="32" t="s">
        <v>1062</v>
      </c>
      <c r="B21" s="31">
        <f>COUNTIF($B$2:$Q$17,"&lt;"&amp;$B$19)/2</f>
        <v>7</v>
      </c>
    </row>
    <row r="22" spans="1:17" x14ac:dyDescent="0.2">
      <c r="A22" s="32" t="s">
        <v>1063</v>
      </c>
      <c r="B22" s="31">
        <f>(COUNTIF($B$2:$Q$17,"&lt;"&amp;$B$20)-COUNTIF($B$2:$Q$17,"&lt;"&amp;$B$19))/2</f>
        <v>50</v>
      </c>
    </row>
    <row r="24" spans="1:17" x14ac:dyDescent="0.2">
      <c r="A24" s="34" t="s">
        <v>1064</v>
      </c>
    </row>
  </sheetData>
  <conditionalFormatting sqref="B2:Q17">
    <cfRule type="cellIs" dxfId="2" priority="1" stopIfTrue="1" operator="lessThan">
      <formula>$B$19</formula>
    </cfRule>
    <cfRule type="cellIs" dxfId="1" priority="2" stopIfTrue="1" operator="lessThan">
      <formula>$B$20</formula>
    </cfRule>
    <cfRule type="cellIs" dxfId="0" priority="3" stopIfTrue="1" operator="greaterThanOrEqual">
      <formula>$B$20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67"/>
  <sheetViews>
    <sheetView tabSelected="1" workbookViewId="0">
      <pane xSplit="1" ySplit="1" topLeftCell="B2" activePane="bottomRight" state="frozen"/>
      <selection pane="topRight"/>
      <selection pane="bottomLeft"/>
      <selection pane="bottomRight" activeCell="A2" sqref="A2"/>
    </sheetView>
  </sheetViews>
  <sheetFormatPr defaultRowHeight="15" x14ac:dyDescent="0.25"/>
  <cols>
    <col min="1" max="1" width="10" customWidth="1"/>
    <col min="2" max="2" width="12" customWidth="1"/>
    <col min="3" max="3" width="6" customWidth="1"/>
    <col min="4" max="4" width="16" customWidth="1"/>
    <col min="5" max="6" width="11" customWidth="1"/>
    <col min="7" max="7" width="16" customWidth="1"/>
    <col min="8" max="8" width="11" customWidth="1"/>
    <col min="9" max="9" width="60" customWidth="1"/>
    <col min="10" max="10" width="14" customWidth="1"/>
    <col min="11" max="11" width="9.7109375" customWidth="1"/>
    <col min="12" max="12" width="15.7109375" customWidth="1"/>
    <col min="13" max="13" width="9.7109375" customWidth="1"/>
    <col min="14" max="14" width="13.7109375" customWidth="1"/>
    <col min="15" max="15" width="34.7109375" customWidth="1"/>
  </cols>
  <sheetData>
    <row r="1" spans="1:15" ht="42" customHeight="1" x14ac:dyDescent="0.25">
      <c r="A1" s="8" t="s">
        <v>81</v>
      </c>
      <c r="B1" s="8" t="s">
        <v>18</v>
      </c>
      <c r="C1" s="8" t="s">
        <v>82</v>
      </c>
      <c r="D1" s="8" t="s">
        <v>83</v>
      </c>
      <c r="E1" s="8" t="s">
        <v>84</v>
      </c>
      <c r="F1" s="8" t="s">
        <v>85</v>
      </c>
      <c r="G1" s="8" t="s">
        <v>86</v>
      </c>
      <c r="H1" s="8" t="s">
        <v>87</v>
      </c>
      <c r="I1" s="8" t="s">
        <v>88</v>
      </c>
      <c r="J1" s="8" t="s">
        <v>89</v>
      </c>
      <c r="K1" s="35" t="s">
        <v>1071</v>
      </c>
      <c r="L1" s="35" t="s">
        <v>1100</v>
      </c>
      <c r="M1" s="35" t="s">
        <v>1072</v>
      </c>
      <c r="N1" s="35" t="s">
        <v>1101</v>
      </c>
      <c r="O1" s="35" t="s">
        <v>1280</v>
      </c>
    </row>
    <row r="2" spans="1:15" ht="24" customHeight="1" x14ac:dyDescent="0.25">
      <c r="A2" s="16" t="s">
        <v>90</v>
      </c>
      <c r="B2" s="16" t="s">
        <v>25</v>
      </c>
      <c r="C2" s="16">
        <v>1</v>
      </c>
      <c r="D2" s="16" t="s">
        <v>1104</v>
      </c>
      <c r="E2" s="17" t="s">
        <v>92</v>
      </c>
      <c r="F2" s="16" t="s">
        <v>93</v>
      </c>
      <c r="G2" s="18" t="str">
        <f t="shared" ref="G2:G33" si="0">IFERROR(INDEX($D:$D,MATCH($F2,$A:$A,0)),"")</f>
        <v>Drain</v>
      </c>
      <c r="H2" s="19" t="str">
        <f t="shared" ref="H2:H33" si="1">IFERROR(INDEX($E:$E,MATCH($F2,$A:$A,0)),"")</f>
        <v>ᚡ</v>
      </c>
      <c r="I2" s="20" t="str">
        <f>Water!$E$6</f>
        <v>fill an area with water; the ground turns Wet</v>
      </c>
      <c r="J2" s="21" t="s">
        <v>94</v>
      </c>
      <c r="K2" s="50" t="s">
        <v>1082</v>
      </c>
      <c r="L2" s="51">
        <v>-0.6</v>
      </c>
      <c r="M2" s="52">
        <f>IFERROR(INDEX('Bond Rules'!$B$4:$B$7,MATCH(K2,'Bond Rules'!$A$4:$A$7,0)),"")</f>
        <v>3</v>
      </c>
      <c r="N2" s="53">
        <f>IFERROR(ROUND('Bond Rules'!$B$9+L2*INDEX('Bond Rules'!$C$4:$C$7,MATCH(K2,'Bond Rules'!$A$4:$A$7,0)),2),"")</f>
        <v>2.08</v>
      </c>
      <c r="O2" s="61" t="s">
        <v>1281</v>
      </c>
    </row>
    <row r="3" spans="1:15" ht="24" customHeight="1" x14ac:dyDescent="0.25">
      <c r="A3" s="16" t="s">
        <v>93</v>
      </c>
      <c r="B3" s="16" t="s">
        <v>25</v>
      </c>
      <c r="C3" s="16">
        <v>1</v>
      </c>
      <c r="D3" s="16" t="s">
        <v>1105</v>
      </c>
      <c r="E3" s="17" t="s">
        <v>96</v>
      </c>
      <c r="F3" s="16" t="s">
        <v>90</v>
      </c>
      <c r="G3" s="18" t="str">
        <f t="shared" si="0"/>
        <v>Flood</v>
      </c>
      <c r="H3" s="19" t="str">
        <f t="shared" si="1"/>
        <v>ᚠ</v>
      </c>
      <c r="I3" s="20" t="str">
        <f>Water!$E$7</f>
        <v>empty the water from an area or a target, and draw it in</v>
      </c>
      <c r="J3" s="21" t="s">
        <v>97</v>
      </c>
      <c r="K3" s="50" t="s">
        <v>1079</v>
      </c>
      <c r="L3" s="51">
        <v>0.6</v>
      </c>
      <c r="M3" s="52">
        <f>IFERROR(INDEX('Bond Rules'!$B$4:$B$7,MATCH(K3,'Bond Rules'!$A$4:$A$7,0)),"")</f>
        <v>2</v>
      </c>
      <c r="N3" s="53">
        <f>IFERROR(ROUND('Bond Rules'!$B$9+L3*INDEX('Bond Rules'!$C$4:$C$7,MATCH(K3,'Bond Rules'!$A$4:$A$7,0)),2),"")</f>
        <v>3.1</v>
      </c>
      <c r="O3" s="61" t="s">
        <v>1282</v>
      </c>
    </row>
    <row r="4" spans="1:15" ht="24" customHeight="1" x14ac:dyDescent="0.25">
      <c r="A4" s="16" t="s">
        <v>98</v>
      </c>
      <c r="B4" s="16" t="s">
        <v>25</v>
      </c>
      <c r="C4" s="16">
        <v>2</v>
      </c>
      <c r="D4" s="16" t="s">
        <v>91</v>
      </c>
      <c r="E4" s="17" t="s">
        <v>99</v>
      </c>
      <c r="F4" s="16" t="s">
        <v>100</v>
      </c>
      <c r="G4" s="18" t="str">
        <f t="shared" si="0"/>
        <v>Ebb</v>
      </c>
      <c r="H4" s="19" t="str">
        <f t="shared" si="1"/>
        <v>ᚣ</v>
      </c>
      <c r="I4" s="20" t="str">
        <f>Water!$E$8</f>
        <v>push bodies away</v>
      </c>
      <c r="J4" s="21" t="s">
        <v>101</v>
      </c>
      <c r="K4" s="50" t="s">
        <v>1079</v>
      </c>
      <c r="L4" s="51">
        <v>-0.6</v>
      </c>
      <c r="M4" s="52">
        <f>IFERROR(INDEX('Bond Rules'!$B$4:$B$7,MATCH(K4,'Bond Rules'!$A$4:$A$7,0)),"")</f>
        <v>2</v>
      </c>
      <c r="N4" s="53">
        <f>IFERROR(ROUND('Bond Rules'!$B$9+L4*INDEX('Bond Rules'!$C$4:$C$7,MATCH(K4,'Bond Rules'!$A$4:$A$7,0)),2),"")</f>
        <v>1.9</v>
      </c>
      <c r="O4" s="61" t="s">
        <v>1283</v>
      </c>
    </row>
    <row r="5" spans="1:15" ht="24" customHeight="1" x14ac:dyDescent="0.25">
      <c r="A5" s="16" t="s">
        <v>100</v>
      </c>
      <c r="B5" s="16" t="s">
        <v>25</v>
      </c>
      <c r="C5" s="16">
        <v>2</v>
      </c>
      <c r="D5" s="16" t="s">
        <v>95</v>
      </c>
      <c r="E5" s="17" t="s">
        <v>102</v>
      </c>
      <c r="F5" s="16" t="s">
        <v>98</v>
      </c>
      <c r="G5" s="18" t="str">
        <f t="shared" si="0"/>
        <v>Surge</v>
      </c>
      <c r="H5" s="19" t="str">
        <f t="shared" si="1"/>
        <v>ᚢ</v>
      </c>
      <c r="I5" s="20" t="str">
        <f>Water!$E$9</f>
        <v>draw bodies in</v>
      </c>
      <c r="J5" s="21" t="s">
        <v>103</v>
      </c>
      <c r="K5" s="50" t="s">
        <v>1079</v>
      </c>
      <c r="L5" s="51">
        <v>0.6</v>
      </c>
      <c r="M5" s="52">
        <f>IFERROR(INDEX('Bond Rules'!$B$4:$B$7,MATCH(K5,'Bond Rules'!$A$4:$A$7,0)),"")</f>
        <v>2</v>
      </c>
      <c r="N5" s="53">
        <f>IFERROR(ROUND('Bond Rules'!$B$9+L5*INDEX('Bond Rules'!$C$4:$C$7,MATCH(K5,'Bond Rules'!$A$4:$A$7,0)),2),"")</f>
        <v>3.1</v>
      </c>
      <c r="O5" s="61" t="s">
        <v>1284</v>
      </c>
    </row>
    <row r="6" spans="1:15" ht="24" customHeight="1" x14ac:dyDescent="0.25">
      <c r="A6" s="16" t="s">
        <v>104</v>
      </c>
      <c r="B6" s="16" t="s">
        <v>25</v>
      </c>
      <c r="C6" s="16">
        <v>3</v>
      </c>
      <c r="D6" s="16" t="s">
        <v>105</v>
      </c>
      <c r="E6" s="17" t="s">
        <v>106</v>
      </c>
      <c r="F6" s="16" t="s">
        <v>107</v>
      </c>
      <c r="G6" s="18" t="str">
        <f t="shared" si="0"/>
        <v>Dry</v>
      </c>
      <c r="H6" s="19" t="str">
        <f t="shared" si="1"/>
        <v>ᚥ</v>
      </c>
      <c r="I6" s="20" t="str">
        <f>Water!$E$10</f>
        <v>saturate a target</v>
      </c>
      <c r="J6" s="21" t="s">
        <v>108</v>
      </c>
      <c r="K6" s="50" t="s">
        <v>1079</v>
      </c>
      <c r="L6" s="51">
        <v>-0.5</v>
      </c>
      <c r="M6" s="52">
        <f>IFERROR(INDEX('Bond Rules'!$B$4:$B$7,MATCH(K6,'Bond Rules'!$A$4:$A$7,0)),"")</f>
        <v>2</v>
      </c>
      <c r="N6" s="53">
        <f>IFERROR(ROUND('Bond Rules'!$B$9+L6*INDEX('Bond Rules'!$C$4:$C$7,MATCH(K6,'Bond Rules'!$A$4:$A$7,0)),2),"")</f>
        <v>2</v>
      </c>
      <c r="O6" s="61" t="s">
        <v>1285</v>
      </c>
    </row>
    <row r="7" spans="1:15" ht="24" customHeight="1" x14ac:dyDescent="0.25">
      <c r="A7" s="16" t="s">
        <v>107</v>
      </c>
      <c r="B7" s="16" t="s">
        <v>25</v>
      </c>
      <c r="C7" s="16">
        <v>3</v>
      </c>
      <c r="D7" s="16" t="s">
        <v>121</v>
      </c>
      <c r="E7" s="17" t="s">
        <v>109</v>
      </c>
      <c r="F7" s="16" t="s">
        <v>104</v>
      </c>
      <c r="G7" s="18" t="str">
        <f t="shared" si="0"/>
        <v>Soak</v>
      </c>
      <c r="H7" s="19" t="str">
        <f t="shared" si="1"/>
        <v>ᚤ</v>
      </c>
      <c r="I7" s="20" t="str">
        <f>Water!$E$11</f>
        <v>pull the water out of a body: damage by how wet it is</v>
      </c>
      <c r="J7" s="21" t="s">
        <v>110</v>
      </c>
      <c r="K7" s="50" t="s">
        <v>1076</v>
      </c>
      <c r="L7" s="51">
        <v>0.8</v>
      </c>
      <c r="M7" s="52">
        <f>IFERROR(INDEX('Bond Rules'!$B$4:$B$7,MATCH(K7,'Bond Rules'!$A$4:$A$7,0)),"")</f>
        <v>1</v>
      </c>
      <c r="N7" s="53">
        <f>IFERROR(ROUND('Bond Rules'!$B$9+L7*INDEX('Bond Rules'!$C$4:$C$7,MATCH(K7,'Bond Rules'!$A$4:$A$7,0)),2),"")</f>
        <v>3.7</v>
      </c>
      <c r="O7" s="61" t="s">
        <v>1286</v>
      </c>
    </row>
    <row r="8" spans="1:15" ht="24" customHeight="1" x14ac:dyDescent="0.25">
      <c r="A8" s="16" t="s">
        <v>111</v>
      </c>
      <c r="B8" s="16" t="s">
        <v>25</v>
      </c>
      <c r="C8" s="16">
        <v>4</v>
      </c>
      <c r="D8" s="16" t="s">
        <v>141</v>
      </c>
      <c r="E8" s="17" t="s">
        <v>112</v>
      </c>
      <c r="F8" s="16" t="s">
        <v>113</v>
      </c>
      <c r="G8" s="18" t="str">
        <f t="shared" si="0"/>
        <v>Drown</v>
      </c>
      <c r="H8" s="19" t="str">
        <f t="shared" si="1"/>
        <v>ᚧ</v>
      </c>
      <c r="I8" s="20" t="str">
        <f>Water!$E$12</f>
        <v>buoyancy: lift, lighten, walk on water</v>
      </c>
      <c r="J8" s="21" t="s">
        <v>114</v>
      </c>
      <c r="K8" s="50" t="s">
        <v>1079</v>
      </c>
      <c r="L8" s="51">
        <v>-0.5</v>
      </c>
      <c r="M8" s="52">
        <f>IFERROR(INDEX('Bond Rules'!$B$4:$B$7,MATCH(K8,'Bond Rules'!$A$4:$A$7,0)),"")</f>
        <v>2</v>
      </c>
      <c r="N8" s="53">
        <f>IFERROR(ROUND('Bond Rules'!$B$9+L8*INDEX('Bond Rules'!$C$4:$C$7,MATCH(K8,'Bond Rules'!$A$4:$A$7,0)),2),"")</f>
        <v>2</v>
      </c>
      <c r="O8" s="61" t="s">
        <v>1287</v>
      </c>
    </row>
    <row r="9" spans="1:15" ht="24" customHeight="1" x14ac:dyDescent="0.25">
      <c r="A9" s="16" t="s">
        <v>113</v>
      </c>
      <c r="B9" s="16" t="s">
        <v>25</v>
      </c>
      <c r="C9" s="16">
        <v>4</v>
      </c>
      <c r="D9" s="16" t="s">
        <v>137</v>
      </c>
      <c r="E9" s="17" t="s">
        <v>115</v>
      </c>
      <c r="F9" s="16" t="s">
        <v>111</v>
      </c>
      <c r="G9" s="18" t="str">
        <f t="shared" si="0"/>
        <v>Float</v>
      </c>
      <c r="H9" s="19" t="str">
        <f t="shared" si="1"/>
        <v>ᚦ</v>
      </c>
      <c r="I9" s="20" t="str">
        <f>Water!$E$13</f>
        <v>water in the lungs: no casting, no calls for help, damage over time</v>
      </c>
      <c r="J9" s="21" t="s">
        <v>116</v>
      </c>
      <c r="K9" s="50" t="s">
        <v>1076</v>
      </c>
      <c r="L9" s="51">
        <v>0.9</v>
      </c>
      <c r="M9" s="52">
        <f>IFERROR(INDEX('Bond Rules'!$B$4:$B$7,MATCH(K9,'Bond Rules'!$A$4:$A$7,0)),"")</f>
        <v>1</v>
      </c>
      <c r="N9" s="53">
        <f>IFERROR(ROUND('Bond Rules'!$B$9+L9*INDEX('Bond Rules'!$C$4:$C$7,MATCH(K9,'Bond Rules'!$A$4:$A$7,0)),2),"")</f>
        <v>3.85</v>
      </c>
      <c r="O9" s="61" t="s">
        <v>1288</v>
      </c>
    </row>
    <row r="10" spans="1:15" ht="24" customHeight="1" x14ac:dyDescent="0.25">
      <c r="A10" s="16" t="s">
        <v>117</v>
      </c>
      <c r="B10" s="16" t="s">
        <v>25</v>
      </c>
      <c r="C10" s="16">
        <v>5</v>
      </c>
      <c r="D10" s="16" t="s">
        <v>1106</v>
      </c>
      <c r="E10" s="17" t="s">
        <v>118</v>
      </c>
      <c r="F10" s="16" t="s">
        <v>119</v>
      </c>
      <c r="G10" s="18" t="str">
        <f t="shared" si="0"/>
        <v>Drip</v>
      </c>
      <c r="H10" s="19" t="str">
        <f t="shared" si="1"/>
        <v>ᚩ</v>
      </c>
      <c r="I10" s="20" t="str">
        <f>Water!$E$14</f>
        <v>a sudden forceful jet</v>
      </c>
      <c r="J10" s="21" t="s">
        <v>120</v>
      </c>
      <c r="K10" s="50" t="s">
        <v>1079</v>
      </c>
      <c r="L10" s="51">
        <v>-0.8</v>
      </c>
      <c r="M10" s="52">
        <f>IFERROR(INDEX('Bond Rules'!$B$4:$B$7,MATCH(K10,'Bond Rules'!$A$4:$A$7,0)),"")</f>
        <v>2</v>
      </c>
      <c r="N10" s="53">
        <f>IFERROR(ROUND('Bond Rules'!$B$9+L10*INDEX('Bond Rules'!$C$4:$C$7,MATCH(K10,'Bond Rules'!$A$4:$A$7,0)),2),"")</f>
        <v>1.7</v>
      </c>
      <c r="O10" s="61" t="s">
        <v>1289</v>
      </c>
    </row>
    <row r="11" spans="1:15" ht="24" customHeight="1" x14ac:dyDescent="0.25">
      <c r="A11" s="16" t="s">
        <v>119</v>
      </c>
      <c r="B11" s="16" t="s">
        <v>25</v>
      </c>
      <c r="C11" s="16">
        <v>5</v>
      </c>
      <c r="D11" s="16" t="s">
        <v>1107</v>
      </c>
      <c r="E11" s="17" t="s">
        <v>122</v>
      </c>
      <c r="F11" s="16" t="s">
        <v>117</v>
      </c>
      <c r="G11" s="18" t="str">
        <f t="shared" si="0"/>
        <v>Gush</v>
      </c>
      <c r="H11" s="19" t="str">
        <f t="shared" si="1"/>
        <v>ᚨ</v>
      </c>
      <c r="I11" s="20" t="str">
        <f>Water!$E$15</f>
        <v>a slow steady trickle that wears and lingers</v>
      </c>
      <c r="J11" s="21" t="s">
        <v>123</v>
      </c>
      <c r="K11" s="50" t="s">
        <v>1079</v>
      </c>
      <c r="L11" s="51">
        <v>0.3</v>
      </c>
      <c r="M11" s="52">
        <f>IFERROR(INDEX('Bond Rules'!$B$4:$B$7,MATCH(K11,'Bond Rules'!$A$4:$A$7,0)),"")</f>
        <v>2</v>
      </c>
      <c r="N11" s="53">
        <f>IFERROR(ROUND('Bond Rules'!$B$9+L11*INDEX('Bond Rules'!$C$4:$C$7,MATCH(K11,'Bond Rules'!$A$4:$A$7,0)),2),"")</f>
        <v>2.8</v>
      </c>
      <c r="O11" s="61" t="s">
        <v>1290</v>
      </c>
    </row>
    <row r="12" spans="1:15" ht="24" customHeight="1" x14ac:dyDescent="0.25">
      <c r="A12" s="16" t="s">
        <v>124</v>
      </c>
      <c r="B12" s="16" t="s">
        <v>25</v>
      </c>
      <c r="C12" s="16">
        <v>6</v>
      </c>
      <c r="D12" s="16" t="s">
        <v>1108</v>
      </c>
      <c r="E12" s="17" t="s">
        <v>125</v>
      </c>
      <c r="F12" s="16" t="s">
        <v>126</v>
      </c>
      <c r="G12" s="18" t="str">
        <f t="shared" si="0"/>
        <v>Settle</v>
      </c>
      <c r="H12" s="19" t="str">
        <f t="shared" si="1"/>
        <v>ᚫ</v>
      </c>
      <c r="I12" s="20" t="str">
        <f>Water!$E$16</f>
        <v>a current that carries things along</v>
      </c>
      <c r="J12" s="21" t="s">
        <v>127</v>
      </c>
      <c r="K12" s="50" t="s">
        <v>1079</v>
      </c>
      <c r="L12" s="51">
        <v>-0.4</v>
      </c>
      <c r="M12" s="52">
        <f>IFERROR(INDEX('Bond Rules'!$B$4:$B$7,MATCH(K12,'Bond Rules'!$A$4:$A$7,0)),"")</f>
        <v>2</v>
      </c>
      <c r="N12" s="53">
        <f>IFERROR(ROUND('Bond Rules'!$B$9+L12*INDEX('Bond Rules'!$C$4:$C$7,MATCH(K12,'Bond Rules'!$A$4:$A$7,0)),2),"")</f>
        <v>2.1</v>
      </c>
      <c r="O12" s="61" t="s">
        <v>1291</v>
      </c>
    </row>
    <row r="13" spans="1:15" ht="24" customHeight="1" x14ac:dyDescent="0.25">
      <c r="A13" s="16" t="s">
        <v>126</v>
      </c>
      <c r="B13" s="16" t="s">
        <v>25</v>
      </c>
      <c r="C13" s="16">
        <v>6</v>
      </c>
      <c r="D13" s="16" t="s">
        <v>1109</v>
      </c>
      <c r="E13" s="17" t="s">
        <v>128</v>
      </c>
      <c r="F13" s="16" t="s">
        <v>124</v>
      </c>
      <c r="G13" s="18" t="str">
        <f t="shared" si="0"/>
        <v>Sweep</v>
      </c>
      <c r="H13" s="19" t="str">
        <f t="shared" si="1"/>
        <v>ᚪ</v>
      </c>
      <c r="I13" s="20" t="str">
        <f>Water!$E$17</f>
        <v>the water goes still, and what it carries sinks and stays</v>
      </c>
      <c r="J13" s="21" t="s">
        <v>129</v>
      </c>
      <c r="K13" s="50" t="s">
        <v>1085</v>
      </c>
      <c r="L13" s="51">
        <v>0.4</v>
      </c>
      <c r="M13" s="52">
        <f>IFERROR(INDEX('Bond Rules'!$B$4:$B$7,MATCH(K13,'Bond Rules'!$A$4:$A$7,0)),"")</f>
        <v>4</v>
      </c>
      <c r="N13" s="53">
        <f>IFERROR(ROUND('Bond Rules'!$B$9+L13*INDEX('Bond Rules'!$C$4:$C$7,MATCH(K13,'Bond Rules'!$A$4:$A$7,0)),2),"")</f>
        <v>2.66</v>
      </c>
      <c r="O13" s="61" t="s">
        <v>1292</v>
      </c>
    </row>
    <row r="14" spans="1:15" ht="24" customHeight="1" x14ac:dyDescent="0.25">
      <c r="A14" s="16" t="s">
        <v>130</v>
      </c>
      <c r="B14" s="16" t="s">
        <v>25</v>
      </c>
      <c r="C14" s="16">
        <v>7</v>
      </c>
      <c r="D14" s="16" t="s">
        <v>1110</v>
      </c>
      <c r="E14" s="17" t="s">
        <v>131</v>
      </c>
      <c r="F14" s="16" t="s">
        <v>132</v>
      </c>
      <c r="G14" s="18" t="str">
        <f t="shared" si="0"/>
        <v>Seep</v>
      </c>
      <c r="H14" s="19" t="str">
        <f t="shared" si="1"/>
        <v>ᚭ</v>
      </c>
      <c r="I14" s="20" t="str">
        <f>Water!$E$18</f>
        <v>burst outward on contact, spraying those near</v>
      </c>
      <c r="J14" s="21" t="s">
        <v>133</v>
      </c>
      <c r="K14" s="50" t="s">
        <v>1082</v>
      </c>
      <c r="L14" s="51">
        <v>-0.7</v>
      </c>
      <c r="M14" s="52">
        <f>IFERROR(INDEX('Bond Rules'!$B$4:$B$7,MATCH(K14,'Bond Rules'!$A$4:$A$7,0)),"")</f>
        <v>3</v>
      </c>
      <c r="N14" s="53">
        <f>IFERROR(ROUND('Bond Rules'!$B$9+L14*INDEX('Bond Rules'!$C$4:$C$7,MATCH(K14,'Bond Rules'!$A$4:$A$7,0)),2),"")</f>
        <v>2.0099999999999998</v>
      </c>
      <c r="O14" s="61" t="s">
        <v>1293</v>
      </c>
    </row>
    <row r="15" spans="1:15" ht="24" customHeight="1" x14ac:dyDescent="0.25">
      <c r="A15" s="16" t="s">
        <v>132</v>
      </c>
      <c r="B15" s="16" t="s">
        <v>25</v>
      </c>
      <c r="C15" s="16">
        <v>7</v>
      </c>
      <c r="D15" s="16" t="s">
        <v>1111</v>
      </c>
      <c r="E15" s="17" t="s">
        <v>134</v>
      </c>
      <c r="F15" s="16" t="s">
        <v>130</v>
      </c>
      <c r="G15" s="18" t="str">
        <f t="shared" si="0"/>
        <v>Splash</v>
      </c>
      <c r="H15" s="19" t="str">
        <f t="shared" si="1"/>
        <v>ᚬ</v>
      </c>
      <c r="I15" s="20" t="str">
        <f>Water!$E$19</f>
        <v>soak in slowly, getting behind shields and armour</v>
      </c>
      <c r="J15" s="21" t="s">
        <v>135</v>
      </c>
      <c r="K15" s="50" t="s">
        <v>1079</v>
      </c>
      <c r="L15" s="51">
        <v>0.4</v>
      </c>
      <c r="M15" s="52">
        <f>IFERROR(INDEX('Bond Rules'!$B$4:$B$7,MATCH(K15,'Bond Rules'!$A$4:$A$7,0)),"")</f>
        <v>2</v>
      </c>
      <c r="N15" s="53">
        <f>IFERROR(ROUND('Bond Rules'!$B$9+L15*INDEX('Bond Rules'!$C$4:$C$7,MATCH(K15,'Bond Rules'!$A$4:$A$7,0)),2),"")</f>
        <v>2.9</v>
      </c>
      <c r="O15" s="61" t="s">
        <v>1294</v>
      </c>
    </row>
    <row r="16" spans="1:15" ht="24" customHeight="1" x14ac:dyDescent="0.25">
      <c r="A16" s="16" t="s">
        <v>136</v>
      </c>
      <c r="B16" s="16" t="s">
        <v>25</v>
      </c>
      <c r="C16" s="16">
        <v>8</v>
      </c>
      <c r="D16" s="16" t="s">
        <v>1112</v>
      </c>
      <c r="E16" s="17" t="s">
        <v>138</v>
      </c>
      <c r="F16" s="16" t="s">
        <v>139</v>
      </c>
      <c r="G16" s="18" t="str">
        <f t="shared" si="0"/>
        <v>Slack</v>
      </c>
      <c r="H16" s="19" t="str">
        <f t="shared" si="1"/>
        <v>ᚯ</v>
      </c>
      <c r="I16" s="20" t="str">
        <f>Water!$E$20</f>
        <v>a rolling wall of water</v>
      </c>
      <c r="J16" s="21" t="s">
        <v>140</v>
      </c>
      <c r="K16" s="50" t="s">
        <v>1082</v>
      </c>
      <c r="L16" s="51">
        <v>-0.5</v>
      </c>
      <c r="M16" s="52">
        <f>IFERROR(INDEX('Bond Rules'!$B$4:$B$7,MATCH(K16,'Bond Rules'!$A$4:$A$7,0)),"")</f>
        <v>3</v>
      </c>
      <c r="N16" s="53">
        <f>IFERROR(ROUND('Bond Rules'!$B$9+L16*INDEX('Bond Rules'!$C$4:$C$7,MATCH(K16,'Bond Rules'!$A$4:$A$7,0)),2),"")</f>
        <v>2.15</v>
      </c>
      <c r="O16" s="61" t="s">
        <v>1295</v>
      </c>
    </row>
    <row r="17" spans="1:15" ht="24" customHeight="1" x14ac:dyDescent="0.25">
      <c r="A17" s="16" t="s">
        <v>139</v>
      </c>
      <c r="B17" s="16" t="s">
        <v>25</v>
      </c>
      <c r="C17" s="16">
        <v>8</v>
      </c>
      <c r="D17" s="16" t="s">
        <v>1113</v>
      </c>
      <c r="E17" s="17" t="s">
        <v>142</v>
      </c>
      <c r="F17" s="16" t="s">
        <v>136</v>
      </c>
      <c r="G17" s="18" t="str">
        <f t="shared" si="0"/>
        <v>Wave</v>
      </c>
      <c r="H17" s="19" t="str">
        <f t="shared" si="1"/>
        <v>ᚮ</v>
      </c>
      <c r="I17" s="20" t="str">
        <f>Water!$E$21</f>
        <v>the still moment at the turn of the tide: everything pauses, reflux eases</v>
      </c>
      <c r="J17" s="21" t="s">
        <v>143</v>
      </c>
      <c r="K17" s="50" t="s">
        <v>1076</v>
      </c>
      <c r="L17" s="51">
        <v>0.5</v>
      </c>
      <c r="M17" s="52">
        <f>IFERROR(INDEX('Bond Rules'!$B$4:$B$7,MATCH(K17,'Bond Rules'!$A$4:$A$7,0)),"")</f>
        <v>1</v>
      </c>
      <c r="N17" s="53">
        <f>IFERROR(ROUND('Bond Rules'!$B$9+L17*INDEX('Bond Rules'!$C$4:$C$7,MATCH(K17,'Bond Rules'!$A$4:$A$7,0)),2),"")</f>
        <v>3.25</v>
      </c>
      <c r="O17" s="61" t="s">
        <v>1296</v>
      </c>
    </row>
    <row r="18" spans="1:15" ht="24" customHeight="1" x14ac:dyDescent="0.25">
      <c r="A18" s="16" t="s">
        <v>144</v>
      </c>
      <c r="B18" s="16" t="s">
        <v>29</v>
      </c>
      <c r="C18" s="16">
        <v>1</v>
      </c>
      <c r="D18" s="16" t="s">
        <v>1114</v>
      </c>
      <c r="E18" s="17" t="s">
        <v>146</v>
      </c>
      <c r="F18" s="16" t="s">
        <v>147</v>
      </c>
      <c r="G18" s="18" t="str">
        <f t="shared" si="0"/>
        <v>Quench</v>
      </c>
      <c r="H18" s="19" t="str">
        <f t="shared" si="1"/>
        <v>ᚱ</v>
      </c>
      <c r="I18" s="20" t="str">
        <f>Fire!$E$6</f>
        <v>set a target burning (Alight)</v>
      </c>
      <c r="J18" s="21" t="s">
        <v>148</v>
      </c>
      <c r="K18" s="50" t="s">
        <v>1079</v>
      </c>
      <c r="L18" s="51">
        <v>-0.5</v>
      </c>
      <c r="M18" s="52">
        <f>IFERROR(INDEX('Bond Rules'!$B$4:$B$7,MATCH(K18,'Bond Rules'!$A$4:$A$7,0)),"")</f>
        <v>2</v>
      </c>
      <c r="N18" s="53">
        <f>IFERROR(ROUND('Bond Rules'!$B$9+L18*INDEX('Bond Rules'!$C$4:$C$7,MATCH(K18,'Bond Rules'!$A$4:$A$7,0)),2),"")</f>
        <v>2</v>
      </c>
      <c r="O18" s="61" t="s">
        <v>1297</v>
      </c>
    </row>
    <row r="19" spans="1:15" ht="24" customHeight="1" x14ac:dyDescent="0.25">
      <c r="A19" s="16" t="s">
        <v>147</v>
      </c>
      <c r="B19" s="16" t="s">
        <v>29</v>
      </c>
      <c r="C19" s="16">
        <v>1</v>
      </c>
      <c r="D19" s="16" t="s">
        <v>149</v>
      </c>
      <c r="E19" s="17" t="s">
        <v>150</v>
      </c>
      <c r="F19" s="16" t="s">
        <v>144</v>
      </c>
      <c r="G19" s="18" t="str">
        <f t="shared" si="0"/>
        <v>Burn</v>
      </c>
      <c r="H19" s="19" t="str">
        <f t="shared" si="1"/>
        <v>ᚰ</v>
      </c>
      <c r="I19" s="20" t="str">
        <f>Fire!$E$7</f>
        <v>put fire out, and cash the heat in</v>
      </c>
      <c r="J19" s="21" t="s">
        <v>151</v>
      </c>
      <c r="K19" s="50" t="s">
        <v>1076</v>
      </c>
      <c r="L19" s="51">
        <v>0.7</v>
      </c>
      <c r="M19" s="52">
        <f>IFERROR(INDEX('Bond Rules'!$B$4:$B$7,MATCH(K19,'Bond Rules'!$A$4:$A$7,0)),"")</f>
        <v>1</v>
      </c>
      <c r="N19" s="53">
        <f>IFERROR(ROUND('Bond Rules'!$B$9+L19*INDEX('Bond Rules'!$C$4:$C$7,MATCH(K19,'Bond Rules'!$A$4:$A$7,0)),2),"")</f>
        <v>3.55</v>
      </c>
      <c r="O19" s="61" t="s">
        <v>1298</v>
      </c>
    </row>
    <row r="20" spans="1:15" ht="24" customHeight="1" x14ac:dyDescent="0.25">
      <c r="A20" s="16" t="s">
        <v>152</v>
      </c>
      <c r="B20" s="16" t="s">
        <v>29</v>
      </c>
      <c r="C20" s="16">
        <v>2</v>
      </c>
      <c r="D20" s="16" t="s">
        <v>145</v>
      </c>
      <c r="E20" s="17" t="s">
        <v>154</v>
      </c>
      <c r="F20" s="16" t="s">
        <v>155</v>
      </c>
      <c r="G20" s="18" t="str">
        <f t="shared" si="0"/>
        <v>Snuff</v>
      </c>
      <c r="H20" s="19" t="str">
        <f t="shared" si="1"/>
        <v>ᚳ</v>
      </c>
      <c r="I20" s="20" t="str">
        <f>Fire!$E$8</f>
        <v>start a fire at a point</v>
      </c>
      <c r="J20" s="21" t="s">
        <v>156</v>
      </c>
      <c r="K20" s="50" t="s">
        <v>1079</v>
      </c>
      <c r="L20" s="51">
        <v>-0.4</v>
      </c>
      <c r="M20" s="52">
        <f>IFERROR(INDEX('Bond Rules'!$B$4:$B$7,MATCH(K20,'Bond Rules'!$A$4:$A$7,0)),"")</f>
        <v>2</v>
      </c>
      <c r="N20" s="53">
        <f>IFERROR(ROUND('Bond Rules'!$B$9+L20*INDEX('Bond Rules'!$C$4:$C$7,MATCH(K20,'Bond Rules'!$A$4:$A$7,0)),2),"")</f>
        <v>2.1</v>
      </c>
      <c r="O20" s="61" t="s">
        <v>1299</v>
      </c>
    </row>
    <row r="21" spans="1:15" ht="24" customHeight="1" x14ac:dyDescent="0.25">
      <c r="A21" s="16" t="s">
        <v>155</v>
      </c>
      <c r="B21" s="16" t="s">
        <v>29</v>
      </c>
      <c r="C21" s="16">
        <v>2</v>
      </c>
      <c r="D21" s="16" t="s">
        <v>1115</v>
      </c>
      <c r="E21" s="17" t="s">
        <v>158</v>
      </c>
      <c r="F21" s="16" t="s">
        <v>152</v>
      </c>
      <c r="G21" s="18" t="str">
        <f t="shared" si="0"/>
        <v>Ignite</v>
      </c>
      <c r="H21" s="19" t="str">
        <f t="shared" si="1"/>
        <v>ᚲ</v>
      </c>
      <c r="I21" s="20" t="str">
        <f>Fire!$E$9</f>
        <v>put out one flame or source at once</v>
      </c>
      <c r="J21" s="21" t="s">
        <v>159</v>
      </c>
      <c r="K21" s="50" t="s">
        <v>1076</v>
      </c>
      <c r="L21" s="51">
        <v>0.6</v>
      </c>
      <c r="M21" s="52">
        <f>IFERROR(INDEX('Bond Rules'!$B$4:$B$7,MATCH(K21,'Bond Rules'!$A$4:$A$7,0)),"")</f>
        <v>1</v>
      </c>
      <c r="N21" s="53">
        <f>IFERROR(ROUND('Bond Rules'!$B$9+L21*INDEX('Bond Rules'!$C$4:$C$7,MATCH(K21,'Bond Rules'!$A$4:$A$7,0)),2),"")</f>
        <v>3.4</v>
      </c>
      <c r="O21" s="61" t="s">
        <v>1300</v>
      </c>
    </row>
    <row r="22" spans="1:15" ht="24" customHeight="1" x14ac:dyDescent="0.25">
      <c r="A22" s="16" t="s">
        <v>160</v>
      </c>
      <c r="B22" s="16" t="s">
        <v>29</v>
      </c>
      <c r="C22" s="16">
        <v>3</v>
      </c>
      <c r="D22" s="16" t="s">
        <v>1116</v>
      </c>
      <c r="E22" s="17" t="s">
        <v>161</v>
      </c>
      <c r="F22" s="16" t="s">
        <v>162</v>
      </c>
      <c r="G22" s="18" t="str">
        <f t="shared" si="0"/>
        <v>Implode</v>
      </c>
      <c r="H22" s="19" t="str">
        <f t="shared" si="1"/>
        <v>ᚵ</v>
      </c>
      <c r="I22" s="20" t="str">
        <f>Fire!$E$10</f>
        <v>blast outward</v>
      </c>
      <c r="J22" s="21" t="s">
        <v>163</v>
      </c>
      <c r="K22" s="50" t="s">
        <v>1082</v>
      </c>
      <c r="L22" s="51">
        <v>-1</v>
      </c>
      <c r="M22" s="52">
        <f>IFERROR(INDEX('Bond Rules'!$B$4:$B$7,MATCH(K22,'Bond Rules'!$A$4:$A$7,0)),"")</f>
        <v>3</v>
      </c>
      <c r="N22" s="53">
        <f>IFERROR(ROUND('Bond Rules'!$B$9+L22*INDEX('Bond Rules'!$C$4:$C$7,MATCH(K22,'Bond Rules'!$A$4:$A$7,0)),2),"")</f>
        <v>1.8</v>
      </c>
      <c r="O22" s="61" t="s">
        <v>1301</v>
      </c>
    </row>
    <row r="23" spans="1:15" ht="24" customHeight="1" x14ac:dyDescent="0.25">
      <c r="A23" s="16" t="s">
        <v>162</v>
      </c>
      <c r="B23" s="16" t="s">
        <v>29</v>
      </c>
      <c r="C23" s="16">
        <v>3</v>
      </c>
      <c r="D23" s="16" t="s">
        <v>171</v>
      </c>
      <c r="E23" s="17" t="s">
        <v>165</v>
      </c>
      <c r="F23" s="16" t="s">
        <v>160</v>
      </c>
      <c r="G23" s="18" t="str">
        <f t="shared" si="0"/>
        <v>Explode</v>
      </c>
      <c r="H23" s="19" t="str">
        <f t="shared" si="1"/>
        <v>ᚴ</v>
      </c>
      <c r="I23" s="20" t="str">
        <f>Fire!$E$11</f>
        <v>flame rushing inward</v>
      </c>
      <c r="J23" s="21" t="s">
        <v>166</v>
      </c>
      <c r="K23" s="50" t="s">
        <v>1076</v>
      </c>
      <c r="L23" s="51">
        <v>1</v>
      </c>
      <c r="M23" s="52">
        <f>IFERROR(INDEX('Bond Rules'!$B$4:$B$7,MATCH(K23,'Bond Rules'!$A$4:$A$7,0)),"")</f>
        <v>1</v>
      </c>
      <c r="N23" s="53">
        <f>IFERROR(ROUND('Bond Rules'!$B$9+L23*INDEX('Bond Rules'!$C$4:$C$7,MATCH(K23,'Bond Rules'!$A$4:$A$7,0)),2),"")</f>
        <v>4</v>
      </c>
      <c r="O23" s="61" t="s">
        <v>1284</v>
      </c>
    </row>
    <row r="24" spans="1:15" ht="24" customHeight="1" x14ac:dyDescent="0.25">
      <c r="A24" s="16" t="s">
        <v>167</v>
      </c>
      <c r="B24" s="16" t="s">
        <v>29</v>
      </c>
      <c r="C24" s="16">
        <v>4</v>
      </c>
      <c r="D24" s="16" t="s">
        <v>1117</v>
      </c>
      <c r="E24" s="17" t="s">
        <v>168</v>
      </c>
      <c r="F24" s="16" t="s">
        <v>169</v>
      </c>
      <c r="G24" s="18" t="str">
        <f t="shared" si="0"/>
        <v>Smoulder</v>
      </c>
      <c r="H24" s="19" t="str">
        <f t="shared" si="1"/>
        <v>ᚷ</v>
      </c>
      <c r="I24" s="20" t="str">
        <f>Fire!$E$12</f>
        <v>a fierce, spreading fire</v>
      </c>
      <c r="J24" s="21" t="s">
        <v>170</v>
      </c>
      <c r="K24" s="50" t="s">
        <v>1082</v>
      </c>
      <c r="L24" s="51">
        <v>-0.8</v>
      </c>
      <c r="M24" s="52">
        <f>IFERROR(INDEX('Bond Rules'!$B$4:$B$7,MATCH(K24,'Bond Rules'!$A$4:$A$7,0)),"")</f>
        <v>3</v>
      </c>
      <c r="N24" s="53">
        <f>IFERROR(ROUND('Bond Rules'!$B$9+L24*INDEX('Bond Rules'!$C$4:$C$7,MATCH(K24,'Bond Rules'!$A$4:$A$7,0)),2),"")</f>
        <v>1.94</v>
      </c>
      <c r="O24" s="61" t="s">
        <v>1302</v>
      </c>
    </row>
    <row r="25" spans="1:15" ht="24" customHeight="1" x14ac:dyDescent="0.25">
      <c r="A25" s="16" t="s">
        <v>169</v>
      </c>
      <c r="B25" s="16" t="s">
        <v>29</v>
      </c>
      <c r="C25" s="16">
        <v>4</v>
      </c>
      <c r="D25" s="16" t="s">
        <v>1118</v>
      </c>
      <c r="E25" s="17" t="s">
        <v>172</v>
      </c>
      <c r="F25" s="16" t="s">
        <v>167</v>
      </c>
      <c r="G25" s="18" t="str">
        <f t="shared" si="0"/>
        <v>Blaze</v>
      </c>
      <c r="H25" s="19" t="str">
        <f t="shared" si="1"/>
        <v>ᚶ</v>
      </c>
      <c r="I25" s="20" t="str">
        <f>Fire!$E$13</f>
        <v>a low, lasting burn</v>
      </c>
      <c r="J25" s="21" t="s">
        <v>173</v>
      </c>
      <c r="K25" s="50" t="s">
        <v>1085</v>
      </c>
      <c r="L25" s="51">
        <v>0.4</v>
      </c>
      <c r="M25" s="52">
        <f>IFERROR(INDEX('Bond Rules'!$B$4:$B$7,MATCH(K25,'Bond Rules'!$A$4:$A$7,0)),"")</f>
        <v>4</v>
      </c>
      <c r="N25" s="53">
        <f>IFERROR(ROUND('Bond Rules'!$B$9+L25*INDEX('Bond Rules'!$C$4:$C$7,MATCH(K25,'Bond Rules'!$A$4:$A$7,0)),2),"")</f>
        <v>2.66</v>
      </c>
      <c r="O25" s="61" t="s">
        <v>1303</v>
      </c>
    </row>
    <row r="26" spans="1:15" ht="24" customHeight="1" x14ac:dyDescent="0.25">
      <c r="A26" s="16" t="s">
        <v>174</v>
      </c>
      <c r="B26" s="16" t="s">
        <v>29</v>
      </c>
      <c r="C26" s="16">
        <v>5</v>
      </c>
      <c r="D26" s="16" t="s">
        <v>175</v>
      </c>
      <c r="E26" s="17" t="s">
        <v>176</v>
      </c>
      <c r="F26" s="16" t="s">
        <v>177</v>
      </c>
      <c r="G26" s="18" t="str">
        <f t="shared" si="0"/>
        <v>Smother</v>
      </c>
      <c r="H26" s="19" t="str">
        <f t="shared" si="1"/>
        <v>ᚹ</v>
      </c>
      <c r="I26" s="20" t="str">
        <f>Fire!$E$14</f>
        <v>a sudden flash of flame</v>
      </c>
      <c r="J26" s="21" t="s">
        <v>178</v>
      </c>
      <c r="K26" s="50" t="s">
        <v>1082</v>
      </c>
      <c r="L26" s="51">
        <v>-0.6</v>
      </c>
      <c r="M26" s="52">
        <f>IFERROR(INDEX('Bond Rules'!$B$4:$B$7,MATCH(K26,'Bond Rules'!$A$4:$A$7,0)),"")</f>
        <v>3</v>
      </c>
      <c r="N26" s="53">
        <f>IFERROR(ROUND('Bond Rules'!$B$9+L26*INDEX('Bond Rules'!$C$4:$C$7,MATCH(K26,'Bond Rules'!$A$4:$A$7,0)),2),"")</f>
        <v>2.08</v>
      </c>
      <c r="O26" s="61" t="s">
        <v>1304</v>
      </c>
    </row>
    <row r="27" spans="1:15" ht="24" customHeight="1" x14ac:dyDescent="0.25">
      <c r="A27" s="16" t="s">
        <v>177</v>
      </c>
      <c r="B27" s="16" t="s">
        <v>29</v>
      </c>
      <c r="C27" s="16">
        <v>5</v>
      </c>
      <c r="D27" s="16" t="s">
        <v>1119</v>
      </c>
      <c r="E27" s="17" t="s">
        <v>179</v>
      </c>
      <c r="F27" s="16" t="s">
        <v>174</v>
      </c>
      <c r="G27" s="18" t="str">
        <f t="shared" si="0"/>
        <v>Flare</v>
      </c>
      <c r="H27" s="19" t="str">
        <f t="shared" si="1"/>
        <v>ᚸ</v>
      </c>
      <c r="I27" s="20" t="str">
        <f>Fire!$E$15</f>
        <v>starve a fire, or a foe, of air</v>
      </c>
      <c r="J27" s="21" t="s">
        <v>180</v>
      </c>
      <c r="K27" s="50" t="s">
        <v>1076</v>
      </c>
      <c r="L27" s="51">
        <v>0.8</v>
      </c>
      <c r="M27" s="52">
        <f>IFERROR(INDEX('Bond Rules'!$B$4:$B$7,MATCH(K27,'Bond Rules'!$A$4:$A$7,0)),"")</f>
        <v>1</v>
      </c>
      <c r="N27" s="53">
        <f>IFERROR(ROUND('Bond Rules'!$B$9+L27*INDEX('Bond Rules'!$C$4:$C$7,MATCH(K27,'Bond Rules'!$A$4:$A$7,0)),2),"")</f>
        <v>3.7</v>
      </c>
      <c r="O27" s="61" t="s">
        <v>1305</v>
      </c>
    </row>
    <row r="28" spans="1:15" ht="24" customHeight="1" x14ac:dyDescent="0.25">
      <c r="A28" s="16" t="s">
        <v>181</v>
      </c>
      <c r="B28" s="16" t="s">
        <v>32</v>
      </c>
      <c r="C28" s="16">
        <v>1</v>
      </c>
      <c r="D28" s="16" t="s">
        <v>182</v>
      </c>
      <c r="E28" s="17" t="s">
        <v>183</v>
      </c>
      <c r="F28" s="16" t="s">
        <v>184</v>
      </c>
      <c r="G28" s="18" t="str">
        <f t="shared" si="0"/>
        <v>Sink</v>
      </c>
      <c r="H28" s="19" t="str">
        <f t="shared" si="1"/>
        <v>ᚻ</v>
      </c>
      <c r="I28" s="20" t="str">
        <f>Earth!$E$6</f>
        <v>stone up</v>
      </c>
      <c r="J28" s="21" t="s">
        <v>185</v>
      </c>
      <c r="K28" s="50" t="s">
        <v>1085</v>
      </c>
      <c r="L28" s="51">
        <v>-0.2</v>
      </c>
      <c r="M28" s="52">
        <f>IFERROR(INDEX('Bond Rules'!$B$4:$B$7,MATCH(K28,'Bond Rules'!$A$4:$A$7,0)),"")</f>
        <v>4</v>
      </c>
      <c r="N28" s="53">
        <f>IFERROR(ROUND('Bond Rules'!$B$9+L28*INDEX('Bond Rules'!$C$4:$C$7,MATCH(K28,'Bond Rules'!$A$4:$A$7,0)),2),"")</f>
        <v>2.42</v>
      </c>
      <c r="O28" s="61" t="s">
        <v>1306</v>
      </c>
    </row>
    <row r="29" spans="1:15" ht="24" customHeight="1" x14ac:dyDescent="0.25">
      <c r="A29" s="16" t="s">
        <v>184</v>
      </c>
      <c r="B29" s="16" t="s">
        <v>32</v>
      </c>
      <c r="C29" s="16">
        <v>1</v>
      </c>
      <c r="D29" s="16" t="s">
        <v>186</v>
      </c>
      <c r="E29" s="17" t="s">
        <v>187</v>
      </c>
      <c r="F29" s="16" t="s">
        <v>181</v>
      </c>
      <c r="G29" s="18" t="str">
        <f t="shared" si="0"/>
        <v>Raise</v>
      </c>
      <c r="H29" s="19" t="str">
        <f t="shared" si="1"/>
        <v>ᚺ</v>
      </c>
      <c r="I29" s="20" t="str">
        <f>Earth!$E$7</f>
        <v>ground down, pits</v>
      </c>
      <c r="J29" s="21" t="s">
        <v>188</v>
      </c>
      <c r="K29" s="50" t="s">
        <v>1079</v>
      </c>
      <c r="L29" s="51">
        <v>0.5</v>
      </c>
      <c r="M29" s="52">
        <f>IFERROR(INDEX('Bond Rules'!$B$4:$B$7,MATCH(K29,'Bond Rules'!$A$4:$A$7,0)),"")</f>
        <v>2</v>
      </c>
      <c r="N29" s="53">
        <f>IFERROR(ROUND('Bond Rules'!$B$9+L29*INDEX('Bond Rules'!$C$4:$C$7,MATCH(K29,'Bond Rules'!$A$4:$A$7,0)),2),"")</f>
        <v>3</v>
      </c>
      <c r="O29" s="61" t="s">
        <v>1292</v>
      </c>
    </row>
    <row r="30" spans="1:15" ht="24" customHeight="1" x14ac:dyDescent="0.25">
      <c r="A30" s="16" t="s">
        <v>189</v>
      </c>
      <c r="B30" s="16" t="s">
        <v>32</v>
      </c>
      <c r="C30" s="16">
        <v>2</v>
      </c>
      <c r="D30" s="16" t="s">
        <v>190</v>
      </c>
      <c r="E30" s="17" t="s">
        <v>191</v>
      </c>
      <c r="F30" s="16" t="s">
        <v>192</v>
      </c>
      <c r="G30" s="18" t="str">
        <f t="shared" si="0"/>
        <v>Crumble</v>
      </c>
      <c r="H30" s="19" t="str">
        <f t="shared" si="1"/>
        <v>ᚽ</v>
      </c>
      <c r="I30" s="20" t="str">
        <f>Earth!$E$8</f>
        <v>solidify, armour</v>
      </c>
      <c r="J30" s="21" t="s">
        <v>193</v>
      </c>
      <c r="K30" s="50" t="s">
        <v>1085</v>
      </c>
      <c r="L30" s="51">
        <v>0.4</v>
      </c>
      <c r="M30" s="52">
        <f>IFERROR(INDEX('Bond Rules'!$B$4:$B$7,MATCH(K30,'Bond Rules'!$A$4:$A$7,0)),"")</f>
        <v>4</v>
      </c>
      <c r="N30" s="53">
        <f>IFERROR(ROUND('Bond Rules'!$B$9+L30*INDEX('Bond Rules'!$C$4:$C$7,MATCH(K30,'Bond Rules'!$A$4:$A$7,0)),2),"")</f>
        <v>2.66</v>
      </c>
      <c r="O30" s="61" t="s">
        <v>1307</v>
      </c>
    </row>
    <row r="31" spans="1:15" ht="24" customHeight="1" x14ac:dyDescent="0.25">
      <c r="A31" s="16" t="s">
        <v>192</v>
      </c>
      <c r="B31" s="16" t="s">
        <v>32</v>
      </c>
      <c r="C31" s="16">
        <v>2</v>
      </c>
      <c r="D31" s="16" t="s">
        <v>194</v>
      </c>
      <c r="E31" s="17" t="s">
        <v>195</v>
      </c>
      <c r="F31" s="16" t="s">
        <v>189</v>
      </c>
      <c r="G31" s="18" t="str">
        <f t="shared" si="0"/>
        <v>Harden</v>
      </c>
      <c r="H31" s="19" t="str">
        <f t="shared" si="1"/>
        <v>ᚼ</v>
      </c>
      <c r="I31" s="20" t="str">
        <f>Earth!$E$9</f>
        <v>break stone and guard</v>
      </c>
      <c r="J31" s="21" t="s">
        <v>196</v>
      </c>
      <c r="K31" s="50" t="s">
        <v>1082</v>
      </c>
      <c r="L31" s="51">
        <v>-0.6</v>
      </c>
      <c r="M31" s="52">
        <f>IFERROR(INDEX('Bond Rules'!$B$4:$B$7,MATCH(K31,'Bond Rules'!$A$4:$A$7,0)),"")</f>
        <v>3</v>
      </c>
      <c r="N31" s="53">
        <f>IFERROR(ROUND('Bond Rules'!$B$9+L31*INDEX('Bond Rules'!$C$4:$C$7,MATCH(K31,'Bond Rules'!$A$4:$A$7,0)),2),"")</f>
        <v>2.08</v>
      </c>
      <c r="O31" s="61" t="s">
        <v>1308</v>
      </c>
    </row>
    <row r="32" spans="1:15" ht="24" customHeight="1" x14ac:dyDescent="0.25">
      <c r="A32" s="16" t="s">
        <v>197</v>
      </c>
      <c r="B32" s="16" t="s">
        <v>32</v>
      </c>
      <c r="C32" s="16">
        <v>3</v>
      </c>
      <c r="D32" s="16" t="s">
        <v>198</v>
      </c>
      <c r="E32" s="17" t="s">
        <v>199</v>
      </c>
      <c r="F32" s="16" t="s">
        <v>200</v>
      </c>
      <c r="G32" s="18" t="str">
        <f t="shared" si="0"/>
        <v>Quake</v>
      </c>
      <c r="H32" s="19" t="str">
        <f t="shared" si="1"/>
        <v>ᚿ</v>
      </c>
      <c r="I32" s="20" t="str">
        <f>Earth!$E$10</f>
        <v>anchor, stand firm</v>
      </c>
      <c r="J32" s="21" t="s">
        <v>201</v>
      </c>
      <c r="K32" s="50" t="s">
        <v>1085</v>
      </c>
      <c r="L32" s="51">
        <v>0.6</v>
      </c>
      <c r="M32" s="52">
        <f>IFERROR(INDEX('Bond Rules'!$B$4:$B$7,MATCH(K32,'Bond Rules'!$A$4:$A$7,0)),"")</f>
        <v>4</v>
      </c>
      <c r="N32" s="53">
        <f>IFERROR(ROUND('Bond Rules'!$B$9+L32*INDEX('Bond Rules'!$C$4:$C$7,MATCH(K32,'Bond Rules'!$A$4:$A$7,0)),2),"")</f>
        <v>2.74</v>
      </c>
      <c r="O32" s="61" t="s">
        <v>1309</v>
      </c>
    </row>
    <row r="33" spans="1:15" ht="24" customHeight="1" x14ac:dyDescent="0.25">
      <c r="A33" s="16" t="s">
        <v>200</v>
      </c>
      <c r="B33" s="16" t="s">
        <v>32</v>
      </c>
      <c r="C33" s="16">
        <v>3</v>
      </c>
      <c r="D33" s="16" t="s">
        <v>202</v>
      </c>
      <c r="E33" s="17" t="s">
        <v>203</v>
      </c>
      <c r="F33" s="16" t="s">
        <v>197</v>
      </c>
      <c r="G33" s="18" t="str">
        <f t="shared" si="0"/>
        <v>Root</v>
      </c>
      <c r="H33" s="19" t="str">
        <f t="shared" si="1"/>
        <v>ᚾ</v>
      </c>
      <c r="I33" s="20" t="str">
        <f>Earth!$E$11</f>
        <v>shake, unbalance</v>
      </c>
      <c r="J33" s="21" t="s">
        <v>204</v>
      </c>
      <c r="K33" s="50" t="s">
        <v>1082</v>
      </c>
      <c r="L33" s="51">
        <v>-0.7</v>
      </c>
      <c r="M33" s="52">
        <f>IFERROR(INDEX('Bond Rules'!$B$4:$B$7,MATCH(K33,'Bond Rules'!$A$4:$A$7,0)),"")</f>
        <v>3</v>
      </c>
      <c r="N33" s="53">
        <f>IFERROR(ROUND('Bond Rules'!$B$9+L33*INDEX('Bond Rules'!$C$4:$C$7,MATCH(K33,'Bond Rules'!$A$4:$A$7,0)),2),"")</f>
        <v>2.0099999999999998</v>
      </c>
      <c r="O33" s="61" t="s">
        <v>1295</v>
      </c>
    </row>
    <row r="34" spans="1:15" ht="24" customHeight="1" x14ac:dyDescent="0.25">
      <c r="A34" s="16" t="s">
        <v>205</v>
      </c>
      <c r="B34" s="16" t="s">
        <v>32</v>
      </c>
      <c r="C34" s="16">
        <v>4</v>
      </c>
      <c r="D34" s="16" t="s">
        <v>1120</v>
      </c>
      <c r="E34" s="17" t="s">
        <v>206</v>
      </c>
      <c r="F34" s="16" t="s">
        <v>207</v>
      </c>
      <c r="G34" s="18" t="str">
        <f t="shared" ref="G34:G65" si="2">IFERROR(INDEX($D:$D,MATCH($F34,$A:$A,0)),"")</f>
        <v>Bury</v>
      </c>
      <c r="H34" s="19" t="str">
        <f t="shared" ref="H34:H65" si="3">IFERROR(INDEX($E:$E,MATCH($F34,$A:$A,0)),"")</f>
        <v>ᛁ</v>
      </c>
      <c r="I34" s="20" t="str">
        <f>Earth!$E$12</f>
        <v>tear into the ground and bring stone up to throw</v>
      </c>
      <c r="J34" s="21" t="s">
        <v>208</v>
      </c>
      <c r="K34" s="50" t="s">
        <v>1079</v>
      </c>
      <c r="L34" s="51">
        <v>-0.4</v>
      </c>
      <c r="M34" s="52">
        <f>IFERROR(INDEX('Bond Rules'!$B$4:$B$7,MATCH(K34,'Bond Rules'!$A$4:$A$7,0)),"")</f>
        <v>2</v>
      </c>
      <c r="N34" s="53">
        <f>IFERROR(ROUND('Bond Rules'!$B$9+L34*INDEX('Bond Rules'!$C$4:$C$7,MATCH(K34,'Bond Rules'!$A$4:$A$7,0)),2),"")</f>
        <v>2.1</v>
      </c>
      <c r="O34" s="61" t="s">
        <v>1310</v>
      </c>
    </row>
    <row r="35" spans="1:15" ht="24" customHeight="1" x14ac:dyDescent="0.25">
      <c r="A35" s="16" t="s">
        <v>207</v>
      </c>
      <c r="B35" s="16" t="s">
        <v>32</v>
      </c>
      <c r="C35" s="16">
        <v>4</v>
      </c>
      <c r="D35" s="16" t="s">
        <v>1121</v>
      </c>
      <c r="E35" s="17" t="s">
        <v>209</v>
      </c>
      <c r="F35" s="16" t="s">
        <v>205</v>
      </c>
      <c r="G35" s="18" t="str">
        <f t="shared" si="2"/>
        <v>Dig</v>
      </c>
      <c r="H35" s="19" t="str">
        <f t="shared" si="3"/>
        <v>ᛀ</v>
      </c>
      <c r="I35" s="20" t="str">
        <f>Earth!$E$13</f>
        <v>cover over with earth</v>
      </c>
      <c r="J35" s="21" t="s">
        <v>210</v>
      </c>
      <c r="K35" s="50" t="s">
        <v>1076</v>
      </c>
      <c r="L35" s="51">
        <v>0.7</v>
      </c>
      <c r="M35" s="52">
        <f>IFERROR(INDEX('Bond Rules'!$B$4:$B$7,MATCH(K35,'Bond Rules'!$A$4:$A$7,0)),"")</f>
        <v>1</v>
      </c>
      <c r="N35" s="53">
        <f>IFERROR(ROUND('Bond Rules'!$B$9+L35*INDEX('Bond Rules'!$C$4:$C$7,MATCH(K35,'Bond Rules'!$A$4:$A$7,0)),2),"")</f>
        <v>3.55</v>
      </c>
      <c r="O35" s="61" t="s">
        <v>1311</v>
      </c>
    </row>
    <row r="36" spans="1:15" ht="24" customHeight="1" x14ac:dyDescent="0.25">
      <c r="A36" s="16" t="s">
        <v>211</v>
      </c>
      <c r="B36" s="16" t="s">
        <v>32</v>
      </c>
      <c r="C36" s="16">
        <v>5</v>
      </c>
      <c r="D36" s="16" t="s">
        <v>1122</v>
      </c>
      <c r="E36" s="17" t="s">
        <v>212</v>
      </c>
      <c r="F36" s="16" t="s">
        <v>213</v>
      </c>
      <c r="G36" s="18" t="str">
        <f t="shared" si="2"/>
        <v>Collapse</v>
      </c>
      <c r="H36" s="19" t="str">
        <f t="shared" si="3"/>
        <v>ᛃ</v>
      </c>
      <c r="I36" s="20" t="str">
        <f>Earth!$E$14</f>
        <v>pass through the ground</v>
      </c>
      <c r="J36" s="21" t="s">
        <v>214</v>
      </c>
      <c r="K36" s="50" t="s">
        <v>1079</v>
      </c>
      <c r="L36" s="51">
        <v>-0.3</v>
      </c>
      <c r="M36" s="52">
        <f>IFERROR(INDEX('Bond Rules'!$B$4:$B$7,MATCH(K36,'Bond Rules'!$A$4:$A$7,0)),"")</f>
        <v>2</v>
      </c>
      <c r="N36" s="53">
        <f>IFERROR(ROUND('Bond Rules'!$B$9+L36*INDEX('Bond Rules'!$C$4:$C$7,MATCH(K36,'Bond Rules'!$A$4:$A$7,0)),2),"")</f>
        <v>2.2000000000000002</v>
      </c>
      <c r="O36" s="61" t="s">
        <v>1294</v>
      </c>
    </row>
    <row r="37" spans="1:15" ht="24" customHeight="1" x14ac:dyDescent="0.25">
      <c r="A37" s="16" t="s">
        <v>213</v>
      </c>
      <c r="B37" s="16" t="s">
        <v>32</v>
      </c>
      <c r="C37" s="16">
        <v>5</v>
      </c>
      <c r="D37" s="16" t="s">
        <v>1123</v>
      </c>
      <c r="E37" s="17" t="s">
        <v>215</v>
      </c>
      <c r="F37" s="16" t="s">
        <v>211</v>
      </c>
      <c r="G37" s="18" t="str">
        <f t="shared" si="2"/>
        <v>Tunnel</v>
      </c>
      <c r="H37" s="19" t="str">
        <f t="shared" si="3"/>
        <v>ᛂ</v>
      </c>
      <c r="I37" s="20" t="str">
        <f>Earth!$E$15</f>
        <v>bring the ground down and close a passage</v>
      </c>
      <c r="J37" s="21" t="s">
        <v>216</v>
      </c>
      <c r="K37" s="50" t="s">
        <v>1076</v>
      </c>
      <c r="L37" s="51">
        <v>0.6</v>
      </c>
      <c r="M37" s="52">
        <f>IFERROR(INDEX('Bond Rules'!$B$4:$B$7,MATCH(K37,'Bond Rules'!$A$4:$A$7,0)),"")</f>
        <v>1</v>
      </c>
      <c r="N37" s="53">
        <f>IFERROR(ROUND('Bond Rules'!$B$9+L37*INDEX('Bond Rules'!$C$4:$C$7,MATCH(K37,'Bond Rules'!$A$4:$A$7,0)),2),"")</f>
        <v>3.4</v>
      </c>
      <c r="O37" s="61" t="s">
        <v>1312</v>
      </c>
    </row>
    <row r="38" spans="1:15" ht="24" customHeight="1" x14ac:dyDescent="0.25">
      <c r="A38" s="16" t="s">
        <v>217</v>
      </c>
      <c r="B38" s="16" t="s">
        <v>34</v>
      </c>
      <c r="C38" s="16">
        <v>1</v>
      </c>
      <c r="D38" s="16" t="s">
        <v>1124</v>
      </c>
      <c r="E38" s="17" t="s">
        <v>218</v>
      </c>
      <c r="F38" s="16" t="s">
        <v>219</v>
      </c>
      <c r="G38" s="18" t="str">
        <f t="shared" si="2"/>
        <v>Lull</v>
      </c>
      <c r="H38" s="19" t="str">
        <f t="shared" si="3"/>
        <v>ᛅ</v>
      </c>
      <c r="I38" s="20" t="str">
        <f>Wind!$E$6</f>
        <v>moving air pushes</v>
      </c>
      <c r="J38" s="21" t="s">
        <v>220</v>
      </c>
      <c r="K38" s="50" t="s">
        <v>1079</v>
      </c>
      <c r="L38" s="51">
        <v>-0.6</v>
      </c>
      <c r="M38" s="52">
        <f>IFERROR(INDEX('Bond Rules'!$B$4:$B$7,MATCH(K38,'Bond Rules'!$A$4:$A$7,0)),"")</f>
        <v>2</v>
      </c>
      <c r="N38" s="53">
        <f>IFERROR(ROUND('Bond Rules'!$B$9+L38*INDEX('Bond Rules'!$C$4:$C$7,MATCH(K38,'Bond Rules'!$A$4:$A$7,0)),2),"")</f>
        <v>1.9</v>
      </c>
      <c r="O38" s="61" t="s">
        <v>1313</v>
      </c>
    </row>
    <row r="39" spans="1:15" ht="24" customHeight="1" x14ac:dyDescent="0.25">
      <c r="A39" s="16" t="s">
        <v>219</v>
      </c>
      <c r="B39" s="16" t="s">
        <v>34</v>
      </c>
      <c r="C39" s="16">
        <v>1</v>
      </c>
      <c r="D39" s="16" t="s">
        <v>221</v>
      </c>
      <c r="E39" s="17" t="s">
        <v>222</v>
      </c>
      <c r="F39" s="16" t="s">
        <v>217</v>
      </c>
      <c r="G39" s="18" t="str">
        <f t="shared" si="2"/>
        <v>Blow</v>
      </c>
      <c r="H39" s="19" t="str">
        <f t="shared" si="3"/>
        <v>ᛄ</v>
      </c>
      <c r="I39" s="20" t="str">
        <f>Wind!$E$7</f>
        <v>dead air; shots drop</v>
      </c>
      <c r="J39" s="21" t="s">
        <v>223</v>
      </c>
      <c r="K39" s="50" t="s">
        <v>1076</v>
      </c>
      <c r="L39" s="51">
        <v>0.5</v>
      </c>
      <c r="M39" s="52">
        <f>IFERROR(INDEX('Bond Rules'!$B$4:$B$7,MATCH(K39,'Bond Rules'!$A$4:$A$7,0)),"")</f>
        <v>1</v>
      </c>
      <c r="N39" s="53">
        <f>IFERROR(ROUND('Bond Rules'!$B$9+L39*INDEX('Bond Rules'!$C$4:$C$7,MATCH(K39,'Bond Rules'!$A$4:$A$7,0)),2),"")</f>
        <v>3.25</v>
      </c>
      <c r="O39" s="61" t="s">
        <v>1314</v>
      </c>
    </row>
    <row r="40" spans="1:15" ht="24" customHeight="1" x14ac:dyDescent="0.25">
      <c r="A40" s="16" t="s">
        <v>224</v>
      </c>
      <c r="B40" s="16" t="s">
        <v>34</v>
      </c>
      <c r="C40" s="16">
        <v>2</v>
      </c>
      <c r="D40" s="16" t="s">
        <v>1125</v>
      </c>
      <c r="E40" s="17" t="s">
        <v>226</v>
      </c>
      <c r="F40" s="16" t="s">
        <v>227</v>
      </c>
      <c r="G40" s="18" t="str">
        <f t="shared" si="2"/>
        <v>Buffer</v>
      </c>
      <c r="H40" s="19" t="str">
        <f t="shared" si="3"/>
        <v>ᛇ</v>
      </c>
      <c r="I40" s="20" t="str">
        <f>Wind!$E$8</f>
        <v>air that strikes and cuts</v>
      </c>
      <c r="J40" s="21" t="s">
        <v>228</v>
      </c>
      <c r="K40" s="50" t="s">
        <v>1079</v>
      </c>
      <c r="L40" s="51">
        <v>0.3</v>
      </c>
      <c r="M40" s="52">
        <f>IFERROR(INDEX('Bond Rules'!$B$4:$B$7,MATCH(K40,'Bond Rules'!$A$4:$A$7,0)),"")</f>
        <v>2</v>
      </c>
      <c r="N40" s="53">
        <f>IFERROR(ROUND('Bond Rules'!$B$9+L40*INDEX('Bond Rules'!$C$4:$C$7,MATCH(K40,'Bond Rules'!$A$4:$A$7,0)),2),"")</f>
        <v>2.8</v>
      </c>
      <c r="O40" s="61" t="s">
        <v>1315</v>
      </c>
    </row>
    <row r="41" spans="1:15" ht="24" customHeight="1" x14ac:dyDescent="0.25">
      <c r="A41" s="16" t="s">
        <v>227</v>
      </c>
      <c r="B41" s="16" t="s">
        <v>34</v>
      </c>
      <c r="C41" s="16">
        <v>2</v>
      </c>
      <c r="D41" s="16" t="s">
        <v>236</v>
      </c>
      <c r="E41" s="17" t="s">
        <v>230</v>
      </c>
      <c r="F41" s="16" t="s">
        <v>224</v>
      </c>
      <c r="G41" s="18" t="str">
        <f t="shared" si="2"/>
        <v>Lash</v>
      </c>
      <c r="H41" s="19" t="str">
        <f t="shared" si="3"/>
        <v>ᛆ</v>
      </c>
      <c r="I41" s="20" t="str">
        <f>Wind!$E$9</f>
        <v>cushioning air</v>
      </c>
      <c r="J41" s="21" t="s">
        <v>231</v>
      </c>
      <c r="K41" s="50" t="s">
        <v>1085</v>
      </c>
      <c r="L41" s="51">
        <v>-0.2</v>
      </c>
      <c r="M41" s="52">
        <f>IFERROR(INDEX('Bond Rules'!$B$4:$B$7,MATCH(K41,'Bond Rules'!$A$4:$A$7,0)),"")</f>
        <v>4</v>
      </c>
      <c r="N41" s="53">
        <f>IFERROR(ROUND('Bond Rules'!$B$9+L41*INDEX('Bond Rules'!$C$4:$C$7,MATCH(K41,'Bond Rules'!$A$4:$A$7,0)),2),"")</f>
        <v>2.42</v>
      </c>
      <c r="O41" s="61" t="s">
        <v>1316</v>
      </c>
    </row>
    <row r="42" spans="1:15" ht="24" customHeight="1" x14ac:dyDescent="0.25">
      <c r="A42" s="16" t="s">
        <v>232</v>
      </c>
      <c r="B42" s="16" t="s">
        <v>34</v>
      </c>
      <c r="C42" s="16">
        <v>3</v>
      </c>
      <c r="D42" s="16" t="s">
        <v>672</v>
      </c>
      <c r="E42" s="17" t="s">
        <v>233</v>
      </c>
      <c r="F42" s="16" t="s">
        <v>234</v>
      </c>
      <c r="G42" s="18" t="str">
        <f t="shared" si="2"/>
        <v>Drop</v>
      </c>
      <c r="H42" s="19" t="str">
        <f t="shared" si="3"/>
        <v>ᛉ</v>
      </c>
      <c r="I42" s="20" t="str">
        <f>Wind!$E$10</f>
        <v>raise aloft</v>
      </c>
      <c r="J42" s="21" t="s">
        <v>235</v>
      </c>
      <c r="K42" s="50" t="s">
        <v>1079</v>
      </c>
      <c r="L42" s="51">
        <v>-0.4</v>
      </c>
      <c r="M42" s="52">
        <f>IFERROR(INDEX('Bond Rules'!$B$4:$B$7,MATCH(K42,'Bond Rules'!$A$4:$A$7,0)),"")</f>
        <v>2</v>
      </c>
      <c r="N42" s="53">
        <f>IFERROR(ROUND('Bond Rules'!$B$9+L42*INDEX('Bond Rules'!$C$4:$C$7,MATCH(K42,'Bond Rules'!$A$4:$A$7,0)),2),"")</f>
        <v>2.1</v>
      </c>
      <c r="O42" s="61" t="s">
        <v>1287</v>
      </c>
    </row>
    <row r="43" spans="1:15" ht="24" customHeight="1" x14ac:dyDescent="0.25">
      <c r="A43" s="16" t="s">
        <v>234</v>
      </c>
      <c r="B43" s="16" t="s">
        <v>34</v>
      </c>
      <c r="C43" s="16">
        <v>3</v>
      </c>
      <c r="D43" s="16" t="s">
        <v>1126</v>
      </c>
      <c r="E43" s="17" t="s">
        <v>237</v>
      </c>
      <c r="F43" s="16" t="s">
        <v>232</v>
      </c>
      <c r="G43" s="18" t="str">
        <f t="shared" si="2"/>
        <v>Lift</v>
      </c>
      <c r="H43" s="19" t="str">
        <f t="shared" si="3"/>
        <v>ᛈ</v>
      </c>
      <c r="I43" s="20" t="str">
        <f>Wind!$E$11</f>
        <v>slam down</v>
      </c>
      <c r="J43" s="21" t="s">
        <v>238</v>
      </c>
      <c r="K43" s="50" t="s">
        <v>1079</v>
      </c>
      <c r="L43" s="51">
        <v>0.5</v>
      </c>
      <c r="M43" s="52">
        <f>IFERROR(INDEX('Bond Rules'!$B$4:$B$7,MATCH(K43,'Bond Rules'!$A$4:$A$7,0)),"")</f>
        <v>2</v>
      </c>
      <c r="N43" s="53">
        <f>IFERROR(ROUND('Bond Rules'!$B$9+L43*INDEX('Bond Rules'!$C$4:$C$7,MATCH(K43,'Bond Rules'!$A$4:$A$7,0)),2),"")</f>
        <v>3</v>
      </c>
      <c r="O43" s="61" t="s">
        <v>1317</v>
      </c>
    </row>
    <row r="44" spans="1:15" ht="24" customHeight="1" x14ac:dyDescent="0.25">
      <c r="A44" s="16" t="s">
        <v>239</v>
      </c>
      <c r="B44" s="16" t="s">
        <v>34</v>
      </c>
      <c r="C44" s="16">
        <v>4</v>
      </c>
      <c r="D44" s="16" t="s">
        <v>1127</v>
      </c>
      <c r="E44" s="17" t="s">
        <v>241</v>
      </c>
      <c r="F44" s="16" t="s">
        <v>242</v>
      </c>
      <c r="G44" s="18" t="str">
        <f t="shared" si="2"/>
        <v>Stall</v>
      </c>
      <c r="H44" s="19" t="str">
        <f t="shared" si="3"/>
        <v>ᛋ</v>
      </c>
      <c r="I44" s="20" t="str">
        <f>Wind!$E$12</f>
        <v>be carried along, faster</v>
      </c>
      <c r="J44" s="21" t="s">
        <v>243</v>
      </c>
      <c r="K44" s="50" t="s">
        <v>1079</v>
      </c>
      <c r="L44" s="51">
        <v>-0.5</v>
      </c>
      <c r="M44" s="52">
        <f>IFERROR(INDEX('Bond Rules'!$B$4:$B$7,MATCH(K44,'Bond Rules'!$A$4:$A$7,0)),"")</f>
        <v>2</v>
      </c>
      <c r="N44" s="53">
        <f>IFERROR(ROUND('Bond Rules'!$B$9+L44*INDEX('Bond Rules'!$C$4:$C$7,MATCH(K44,'Bond Rules'!$A$4:$A$7,0)),2),"")</f>
        <v>2</v>
      </c>
      <c r="O44" s="61" t="s">
        <v>1318</v>
      </c>
    </row>
    <row r="45" spans="1:15" ht="24" customHeight="1" x14ac:dyDescent="0.25">
      <c r="A45" s="16" t="s">
        <v>242</v>
      </c>
      <c r="B45" s="16" t="s">
        <v>34</v>
      </c>
      <c r="C45" s="16">
        <v>4</v>
      </c>
      <c r="D45" s="16" t="s">
        <v>425</v>
      </c>
      <c r="E45" s="17" t="s">
        <v>244</v>
      </c>
      <c r="F45" s="16" t="s">
        <v>239</v>
      </c>
      <c r="G45" s="18" t="str">
        <f t="shared" si="2"/>
        <v>Carry</v>
      </c>
      <c r="H45" s="19" t="str">
        <f t="shared" si="3"/>
        <v>ᛊ</v>
      </c>
      <c r="I45" s="20" t="str">
        <f>Wind!$E$13</f>
        <v>stalled; slipstream stolen</v>
      </c>
      <c r="J45" s="21" t="s">
        <v>245</v>
      </c>
      <c r="K45" s="50" t="s">
        <v>1079</v>
      </c>
      <c r="L45" s="51">
        <v>0.6</v>
      </c>
      <c r="M45" s="52">
        <f>IFERROR(INDEX('Bond Rules'!$B$4:$B$7,MATCH(K45,'Bond Rules'!$A$4:$A$7,0)),"")</f>
        <v>2</v>
      </c>
      <c r="N45" s="53">
        <f>IFERROR(ROUND('Bond Rules'!$B$9+L45*INDEX('Bond Rules'!$C$4:$C$7,MATCH(K45,'Bond Rules'!$A$4:$A$7,0)),2),"")</f>
        <v>3.1</v>
      </c>
      <c r="O45" s="61" t="s">
        <v>1319</v>
      </c>
    </row>
    <row r="46" spans="1:15" ht="24" customHeight="1" x14ac:dyDescent="0.25">
      <c r="A46" s="16" t="s">
        <v>246</v>
      </c>
      <c r="B46" s="16" t="s">
        <v>34</v>
      </c>
      <c r="C46" s="16">
        <v>5</v>
      </c>
      <c r="D46" s="16" t="s">
        <v>247</v>
      </c>
      <c r="E46" s="17" t="s">
        <v>248</v>
      </c>
      <c r="F46" s="16" t="s">
        <v>249</v>
      </c>
      <c r="G46" s="18" t="str">
        <f t="shared" si="2"/>
        <v>Disperse</v>
      </c>
      <c r="H46" s="19" t="str">
        <f t="shared" si="3"/>
        <v>ᛍ</v>
      </c>
      <c r="I46" s="20" t="str">
        <f>Wind!$E$14</f>
        <v>spin together</v>
      </c>
      <c r="J46" s="21" t="s">
        <v>250</v>
      </c>
      <c r="K46" s="50" t="s">
        <v>1085</v>
      </c>
      <c r="L46" s="51">
        <v>0.4</v>
      </c>
      <c r="M46" s="52">
        <f>IFERROR(INDEX('Bond Rules'!$B$4:$B$7,MATCH(K46,'Bond Rules'!$A$4:$A$7,0)),"")</f>
        <v>4</v>
      </c>
      <c r="N46" s="53">
        <f>IFERROR(ROUND('Bond Rules'!$B$9+L46*INDEX('Bond Rules'!$C$4:$C$7,MATCH(K46,'Bond Rules'!$A$4:$A$7,0)),2),"")</f>
        <v>2.66</v>
      </c>
      <c r="O46" s="61" t="s">
        <v>1320</v>
      </c>
    </row>
    <row r="47" spans="1:15" ht="24" customHeight="1" x14ac:dyDescent="0.25">
      <c r="A47" s="16" t="s">
        <v>249</v>
      </c>
      <c r="B47" s="16" t="s">
        <v>34</v>
      </c>
      <c r="C47" s="16">
        <v>5</v>
      </c>
      <c r="D47" s="16" t="s">
        <v>251</v>
      </c>
      <c r="E47" s="17" t="s">
        <v>252</v>
      </c>
      <c r="F47" s="16" t="s">
        <v>246</v>
      </c>
      <c r="G47" s="18" t="str">
        <f t="shared" si="2"/>
        <v>Whirl</v>
      </c>
      <c r="H47" s="19" t="str">
        <f t="shared" si="3"/>
        <v>ᛌ</v>
      </c>
      <c r="I47" s="20" t="str">
        <f>Wind!$E$15</f>
        <v>blow apart</v>
      </c>
      <c r="J47" s="21" t="s">
        <v>253</v>
      </c>
      <c r="K47" s="50" t="s">
        <v>1082</v>
      </c>
      <c r="L47" s="51">
        <v>-0.9</v>
      </c>
      <c r="M47" s="52">
        <f>IFERROR(INDEX('Bond Rules'!$B$4:$B$7,MATCH(K47,'Bond Rules'!$A$4:$A$7,0)),"")</f>
        <v>3</v>
      </c>
      <c r="N47" s="53">
        <f>IFERROR(ROUND('Bond Rules'!$B$9+L47*INDEX('Bond Rules'!$C$4:$C$7,MATCH(K47,'Bond Rules'!$A$4:$A$7,0)),2),"")</f>
        <v>1.87</v>
      </c>
      <c r="O47" s="61" t="s">
        <v>1321</v>
      </c>
    </row>
    <row r="48" spans="1:15" ht="24" customHeight="1" x14ac:dyDescent="0.25">
      <c r="A48" s="16" t="s">
        <v>254</v>
      </c>
      <c r="B48" s="16" t="s">
        <v>36</v>
      </c>
      <c r="C48" s="16">
        <v>1</v>
      </c>
      <c r="D48" s="16" t="s">
        <v>1128</v>
      </c>
      <c r="E48" s="17" t="s">
        <v>256</v>
      </c>
      <c r="F48" s="16" t="s">
        <v>257</v>
      </c>
      <c r="G48" s="18" t="str">
        <f t="shared" si="2"/>
        <v>Ground</v>
      </c>
      <c r="H48" s="19" t="str">
        <f t="shared" si="3"/>
        <v>ᛏ</v>
      </c>
      <c r="I48" s="20" t="str">
        <f>Lightning!$E$6</f>
        <v>a bolt that hits one target</v>
      </c>
      <c r="J48" s="21" t="s">
        <v>258</v>
      </c>
      <c r="K48" s="50" t="s">
        <v>1079</v>
      </c>
      <c r="L48" s="51">
        <v>-0.6</v>
      </c>
      <c r="M48" s="52">
        <f>IFERROR(INDEX('Bond Rules'!$B$4:$B$7,MATCH(K48,'Bond Rules'!$A$4:$A$7,0)),"")</f>
        <v>2</v>
      </c>
      <c r="N48" s="53">
        <f>IFERROR(ROUND('Bond Rules'!$B$9+L48*INDEX('Bond Rules'!$C$4:$C$7,MATCH(K48,'Bond Rules'!$A$4:$A$7,0)),2),"")</f>
        <v>1.9</v>
      </c>
      <c r="O48" s="61" t="s">
        <v>1322</v>
      </c>
    </row>
    <row r="49" spans="1:15" ht="24" customHeight="1" x14ac:dyDescent="0.25">
      <c r="A49" s="16" t="s">
        <v>257</v>
      </c>
      <c r="B49" s="16" t="s">
        <v>36</v>
      </c>
      <c r="C49" s="16">
        <v>1</v>
      </c>
      <c r="D49" s="16" t="s">
        <v>1129</v>
      </c>
      <c r="E49" s="17" t="s">
        <v>260</v>
      </c>
      <c r="F49" s="16" t="s">
        <v>254</v>
      </c>
      <c r="G49" s="18" t="str">
        <f t="shared" si="2"/>
        <v>Strike</v>
      </c>
      <c r="H49" s="19" t="str">
        <f t="shared" si="3"/>
        <v>ᛎ</v>
      </c>
      <c r="I49" s="20" t="str">
        <f>Lightning!$E$7</f>
        <v>earth a charge away; draw strikes to a point</v>
      </c>
      <c r="J49" s="21" t="s">
        <v>261</v>
      </c>
      <c r="K49" s="50" t="s">
        <v>1085</v>
      </c>
      <c r="L49" s="51">
        <v>0.4</v>
      </c>
      <c r="M49" s="52">
        <f>IFERROR(INDEX('Bond Rules'!$B$4:$B$7,MATCH(K49,'Bond Rules'!$A$4:$A$7,0)),"")</f>
        <v>4</v>
      </c>
      <c r="N49" s="53">
        <f>IFERROR(ROUND('Bond Rules'!$B$9+L49*INDEX('Bond Rules'!$C$4:$C$7,MATCH(K49,'Bond Rules'!$A$4:$A$7,0)),2),"")</f>
        <v>2.66</v>
      </c>
      <c r="O49" s="61" t="s">
        <v>1296</v>
      </c>
    </row>
    <row r="50" spans="1:15" ht="24" customHeight="1" x14ac:dyDescent="0.25">
      <c r="A50" s="16" t="s">
        <v>262</v>
      </c>
      <c r="B50" s="16" t="s">
        <v>36</v>
      </c>
      <c r="C50" s="16">
        <v>2</v>
      </c>
      <c r="D50" s="16" t="s">
        <v>255</v>
      </c>
      <c r="E50" s="17" t="s">
        <v>264</v>
      </c>
      <c r="F50" s="16" t="s">
        <v>265</v>
      </c>
      <c r="G50" s="18" t="str">
        <f t="shared" si="2"/>
        <v>Discharge</v>
      </c>
      <c r="H50" s="19" t="str">
        <f t="shared" si="3"/>
        <v>ᛑ</v>
      </c>
      <c r="I50" s="20" t="str">
        <f>Lightning!$E$8</f>
        <v>build up marks</v>
      </c>
      <c r="J50" s="21" t="s">
        <v>266</v>
      </c>
      <c r="K50" s="50" t="s">
        <v>1085</v>
      </c>
      <c r="L50" s="51">
        <v>0.6</v>
      </c>
      <c r="M50" s="52">
        <f>IFERROR(INDEX('Bond Rules'!$B$4:$B$7,MATCH(K50,'Bond Rules'!$A$4:$A$7,0)),"")</f>
        <v>4</v>
      </c>
      <c r="N50" s="53">
        <f>IFERROR(ROUND('Bond Rules'!$B$9+L50*INDEX('Bond Rules'!$C$4:$C$7,MATCH(K50,'Bond Rules'!$A$4:$A$7,0)),2),"")</f>
        <v>2.74</v>
      </c>
      <c r="O50" s="61" t="s">
        <v>1323</v>
      </c>
    </row>
    <row r="51" spans="1:15" ht="24" customHeight="1" x14ac:dyDescent="0.25">
      <c r="A51" s="16" t="s">
        <v>265</v>
      </c>
      <c r="B51" s="16" t="s">
        <v>36</v>
      </c>
      <c r="C51" s="16">
        <v>2</v>
      </c>
      <c r="D51" s="16" t="s">
        <v>259</v>
      </c>
      <c r="E51" s="17" t="s">
        <v>268</v>
      </c>
      <c r="F51" s="16" t="s">
        <v>262</v>
      </c>
      <c r="G51" s="18" t="str">
        <f t="shared" si="2"/>
        <v>Charge</v>
      </c>
      <c r="H51" s="19" t="str">
        <f t="shared" si="3"/>
        <v>ᛐ</v>
      </c>
      <c r="I51" s="20" t="str">
        <f>Lightning!$E$9</f>
        <v>release them as an overload</v>
      </c>
      <c r="J51" s="21" t="s">
        <v>269</v>
      </c>
      <c r="K51" s="50" t="s">
        <v>1076</v>
      </c>
      <c r="L51" s="51">
        <v>-1</v>
      </c>
      <c r="M51" s="52">
        <f>IFERROR(INDEX('Bond Rules'!$B$4:$B$7,MATCH(K51,'Bond Rules'!$A$4:$A$7,0)),"")</f>
        <v>1</v>
      </c>
      <c r="N51" s="53">
        <f>IFERROR(ROUND('Bond Rules'!$B$9+L51*INDEX('Bond Rules'!$C$4:$C$7,MATCH(K51,'Bond Rules'!$A$4:$A$7,0)),2),"")</f>
        <v>1</v>
      </c>
      <c r="O51" s="61" t="s">
        <v>1324</v>
      </c>
    </row>
    <row r="52" spans="1:15" ht="24" customHeight="1" x14ac:dyDescent="0.25">
      <c r="A52" s="16" t="s">
        <v>270</v>
      </c>
      <c r="B52" s="16" t="s">
        <v>36</v>
      </c>
      <c r="C52" s="16">
        <v>3</v>
      </c>
      <c r="D52" s="16" t="s">
        <v>263</v>
      </c>
      <c r="E52" s="17" t="s">
        <v>271</v>
      </c>
      <c r="F52" s="16" t="s">
        <v>272</v>
      </c>
      <c r="G52" s="18" t="str">
        <f t="shared" si="2"/>
        <v>Insulate</v>
      </c>
      <c r="H52" s="19" t="str">
        <f t="shared" si="3"/>
        <v>ᛓ</v>
      </c>
      <c r="I52" s="20" t="str">
        <f>Lightning!$E$10</f>
        <v>jump between targets</v>
      </c>
      <c r="J52" s="21" t="s">
        <v>273</v>
      </c>
      <c r="K52" s="50" t="s">
        <v>1082</v>
      </c>
      <c r="L52" s="51">
        <v>-0.5</v>
      </c>
      <c r="M52" s="52">
        <f>IFERROR(INDEX('Bond Rules'!$B$4:$B$7,MATCH(K52,'Bond Rules'!$A$4:$A$7,0)),"")</f>
        <v>3</v>
      </c>
      <c r="N52" s="53">
        <f>IFERROR(ROUND('Bond Rules'!$B$9+L52*INDEX('Bond Rules'!$C$4:$C$7,MATCH(K52,'Bond Rules'!$A$4:$A$7,0)),2),"")</f>
        <v>2.15</v>
      </c>
      <c r="O52" s="61" t="s">
        <v>1325</v>
      </c>
    </row>
    <row r="53" spans="1:15" ht="24" customHeight="1" x14ac:dyDescent="0.25">
      <c r="A53" s="16" t="s">
        <v>272</v>
      </c>
      <c r="B53" s="16" t="s">
        <v>36</v>
      </c>
      <c r="C53" s="16">
        <v>3</v>
      </c>
      <c r="D53" s="16" t="s">
        <v>267</v>
      </c>
      <c r="E53" s="17" t="s">
        <v>274</v>
      </c>
      <c r="F53" s="16" t="s">
        <v>270</v>
      </c>
      <c r="G53" s="18" t="str">
        <f t="shared" si="2"/>
        <v>Arc</v>
      </c>
      <c r="H53" s="19" t="str">
        <f t="shared" si="3"/>
        <v>ᛒ</v>
      </c>
      <c r="I53" s="20" t="str">
        <f>Lightning!$E$11</f>
        <v>block a jump, isolate a target</v>
      </c>
      <c r="J53" s="21" t="s">
        <v>275</v>
      </c>
      <c r="K53" s="50" t="s">
        <v>1076</v>
      </c>
      <c r="L53" s="51">
        <v>0.3</v>
      </c>
      <c r="M53" s="52">
        <f>IFERROR(INDEX('Bond Rules'!$B$4:$B$7,MATCH(K53,'Bond Rules'!$A$4:$A$7,0)),"")</f>
        <v>1</v>
      </c>
      <c r="N53" s="53">
        <f>IFERROR(ROUND('Bond Rules'!$B$9+L53*INDEX('Bond Rules'!$C$4:$C$7,MATCH(K53,'Bond Rules'!$A$4:$A$7,0)),2),"")</f>
        <v>2.95</v>
      </c>
      <c r="O53" s="61" t="s">
        <v>1326</v>
      </c>
    </row>
    <row r="54" spans="1:15" ht="24" customHeight="1" x14ac:dyDescent="0.25">
      <c r="A54" s="16" t="s">
        <v>276</v>
      </c>
      <c r="B54" s="16" t="s">
        <v>36</v>
      </c>
      <c r="C54" s="16">
        <v>4</v>
      </c>
      <c r="D54" s="16" t="s">
        <v>277</v>
      </c>
      <c r="E54" s="17" t="s">
        <v>278</v>
      </c>
      <c r="F54" s="16" t="s">
        <v>279</v>
      </c>
      <c r="G54" s="18" t="str">
        <f t="shared" si="2"/>
        <v>Stun</v>
      </c>
      <c r="H54" s="19" t="str">
        <f t="shared" si="3"/>
        <v>ᛕ</v>
      </c>
      <c r="I54" s="20" t="str">
        <f>Lightning!$E$12</f>
        <v>nerves in overdrive</v>
      </c>
      <c r="J54" s="21" t="s">
        <v>280</v>
      </c>
      <c r="K54" s="50" t="s">
        <v>1079</v>
      </c>
      <c r="L54" s="51">
        <v>-0.4</v>
      </c>
      <c r="M54" s="52">
        <f>IFERROR(INDEX('Bond Rules'!$B$4:$B$7,MATCH(K54,'Bond Rules'!$A$4:$A$7,0)),"")</f>
        <v>2</v>
      </c>
      <c r="N54" s="53">
        <f>IFERROR(ROUND('Bond Rules'!$B$9+L54*INDEX('Bond Rules'!$C$4:$C$7,MATCH(K54,'Bond Rules'!$A$4:$A$7,0)),2),"")</f>
        <v>2.1</v>
      </c>
      <c r="O54" s="61" t="s">
        <v>1327</v>
      </c>
    </row>
    <row r="55" spans="1:15" ht="24" customHeight="1" x14ac:dyDescent="0.25">
      <c r="A55" s="16" t="s">
        <v>279</v>
      </c>
      <c r="B55" s="16" t="s">
        <v>36</v>
      </c>
      <c r="C55" s="16">
        <v>4</v>
      </c>
      <c r="D55" s="16" t="s">
        <v>1130</v>
      </c>
      <c r="E55" s="17" t="s">
        <v>281</v>
      </c>
      <c r="F55" s="16" t="s">
        <v>276</v>
      </c>
      <c r="G55" s="18" t="str">
        <f t="shared" si="2"/>
        <v>Quicken</v>
      </c>
      <c r="H55" s="19" t="str">
        <f t="shared" si="3"/>
        <v>ᛔ</v>
      </c>
      <c r="I55" s="20" t="str">
        <f>Lightning!$E$13</f>
        <v>nerves locked</v>
      </c>
      <c r="J55" s="21" t="s">
        <v>282</v>
      </c>
      <c r="K55" s="50" t="s">
        <v>1076</v>
      </c>
      <c r="L55" s="51">
        <v>0.7</v>
      </c>
      <c r="M55" s="52">
        <f>IFERROR(INDEX('Bond Rules'!$B$4:$B$7,MATCH(K55,'Bond Rules'!$A$4:$A$7,0)),"")</f>
        <v>1</v>
      </c>
      <c r="N55" s="53">
        <f>IFERROR(ROUND('Bond Rules'!$B$9+L55*INDEX('Bond Rules'!$C$4:$C$7,MATCH(K55,'Bond Rules'!$A$4:$A$7,0)),2),"")</f>
        <v>3.55</v>
      </c>
      <c r="O55" s="61" t="s">
        <v>1328</v>
      </c>
    </row>
    <row r="56" spans="1:15" ht="24" customHeight="1" x14ac:dyDescent="0.25">
      <c r="A56" s="16" t="s">
        <v>283</v>
      </c>
      <c r="B56" s="16" t="s">
        <v>36</v>
      </c>
      <c r="C56" s="16">
        <v>5</v>
      </c>
      <c r="D56" s="16" t="s">
        <v>1131</v>
      </c>
      <c r="E56" s="17" t="s">
        <v>284</v>
      </c>
      <c r="F56" s="16" t="s">
        <v>285</v>
      </c>
      <c r="G56" s="18" t="str">
        <f t="shared" si="2"/>
        <v>Silence</v>
      </c>
      <c r="H56" s="19" t="str">
        <f t="shared" si="3"/>
        <v>ᛗ</v>
      </c>
      <c r="I56" s="20" t="str">
        <f>Lightning!$E$14</f>
        <v>a deafening crack that staggers</v>
      </c>
      <c r="J56" s="21" t="s">
        <v>286</v>
      </c>
      <c r="K56" s="50" t="s">
        <v>1082</v>
      </c>
      <c r="L56" s="51">
        <v>-0.7</v>
      </c>
      <c r="M56" s="52">
        <f>IFERROR(INDEX('Bond Rules'!$B$4:$B$7,MATCH(K56,'Bond Rules'!$A$4:$A$7,0)),"")</f>
        <v>3</v>
      </c>
      <c r="N56" s="53">
        <f>IFERROR(ROUND('Bond Rules'!$B$9+L56*INDEX('Bond Rules'!$C$4:$C$7,MATCH(K56,'Bond Rules'!$A$4:$A$7,0)),2),"")</f>
        <v>2.0099999999999998</v>
      </c>
      <c r="O56" s="61" t="s">
        <v>1329</v>
      </c>
    </row>
    <row r="57" spans="1:15" ht="24" customHeight="1" x14ac:dyDescent="0.25">
      <c r="A57" s="16" t="s">
        <v>285</v>
      </c>
      <c r="B57" s="16" t="s">
        <v>36</v>
      </c>
      <c r="C57" s="16">
        <v>5</v>
      </c>
      <c r="D57" s="16" t="s">
        <v>1132</v>
      </c>
      <c r="E57" s="17" t="s">
        <v>287</v>
      </c>
      <c r="F57" s="16" t="s">
        <v>283</v>
      </c>
      <c r="G57" s="18" t="str">
        <f t="shared" si="2"/>
        <v>Thunder</v>
      </c>
      <c r="H57" s="19" t="str">
        <f t="shared" si="3"/>
        <v>ᛖ</v>
      </c>
      <c r="I57" s="20" t="str">
        <f>Lightning!$E$15</f>
        <v>dead quiet: casting and calls fail</v>
      </c>
      <c r="J57" s="21" t="s">
        <v>288</v>
      </c>
      <c r="K57" s="50" t="s">
        <v>1076</v>
      </c>
      <c r="L57" s="51">
        <v>0.5</v>
      </c>
      <c r="M57" s="52">
        <f>IFERROR(INDEX('Bond Rules'!$B$4:$B$7,MATCH(K57,'Bond Rules'!$A$4:$A$7,0)),"")</f>
        <v>1</v>
      </c>
      <c r="N57" s="53">
        <f>IFERROR(ROUND('Bond Rules'!$B$9+L57*INDEX('Bond Rules'!$C$4:$C$7,MATCH(K57,'Bond Rules'!$A$4:$A$7,0)),2),"")</f>
        <v>3.25</v>
      </c>
      <c r="O57" s="61" t="s">
        <v>1300</v>
      </c>
    </row>
    <row r="58" spans="1:15" ht="24" customHeight="1" x14ac:dyDescent="0.25">
      <c r="A58" s="16" t="s">
        <v>289</v>
      </c>
      <c r="B58" s="16" t="s">
        <v>38</v>
      </c>
      <c r="C58" s="16">
        <v>1</v>
      </c>
      <c r="D58" s="16" t="s">
        <v>290</v>
      </c>
      <c r="E58" s="22" t="s">
        <v>291</v>
      </c>
      <c r="F58" s="16" t="s">
        <v>292</v>
      </c>
      <c r="G58" s="18" t="str">
        <f t="shared" si="2"/>
        <v>Thaw</v>
      </c>
      <c r="H58" s="23" t="str">
        <f t="shared" si="3"/>
        <v>🜁</v>
      </c>
      <c r="I58" s="20" t="str">
        <f>Ice!$E$6</f>
        <v>lock solid</v>
      </c>
      <c r="J58" s="21" t="s">
        <v>293</v>
      </c>
      <c r="K58" s="50" t="s">
        <v>1085</v>
      </c>
      <c r="L58" s="51">
        <v>0.5</v>
      </c>
      <c r="M58" s="52">
        <f>IFERROR(INDEX('Bond Rules'!$B$4:$B$7,MATCH(K58,'Bond Rules'!$A$4:$A$7,0)),"")</f>
        <v>4</v>
      </c>
      <c r="N58" s="53">
        <f>IFERROR(ROUND('Bond Rules'!$B$9+L58*INDEX('Bond Rules'!$C$4:$C$7,MATCH(K58,'Bond Rules'!$A$4:$A$7,0)),2),"")</f>
        <v>2.7</v>
      </c>
    </row>
    <row r="59" spans="1:15" ht="24" customHeight="1" x14ac:dyDescent="0.25">
      <c r="A59" s="16" t="s">
        <v>292</v>
      </c>
      <c r="B59" s="16" t="s">
        <v>38</v>
      </c>
      <c r="C59" s="16">
        <v>1</v>
      </c>
      <c r="D59" s="16" t="s">
        <v>294</v>
      </c>
      <c r="E59" s="22" t="s">
        <v>295</v>
      </c>
      <c r="F59" s="16" t="s">
        <v>289</v>
      </c>
      <c r="G59" s="18" t="str">
        <f t="shared" si="2"/>
        <v>Freeze</v>
      </c>
      <c r="H59" s="23" t="str">
        <f t="shared" si="3"/>
        <v>🜀</v>
      </c>
      <c r="I59" s="20" t="str">
        <f>Ice!$E$7</f>
        <v>release, melt free</v>
      </c>
      <c r="J59" s="21" t="s">
        <v>296</v>
      </c>
      <c r="K59" s="50" t="s">
        <v>1079</v>
      </c>
      <c r="L59" s="51">
        <v>-0.6</v>
      </c>
      <c r="M59" s="52">
        <f>IFERROR(INDEX('Bond Rules'!$B$4:$B$7,MATCH(K59,'Bond Rules'!$A$4:$A$7,0)),"")</f>
        <v>2</v>
      </c>
      <c r="N59" s="53">
        <f>IFERROR(ROUND('Bond Rules'!$B$9+L59*INDEX('Bond Rules'!$C$4:$C$7,MATCH(K59,'Bond Rules'!$A$4:$A$7,0)),2),"")</f>
        <v>1.9</v>
      </c>
    </row>
    <row r="60" spans="1:15" ht="24" customHeight="1" x14ac:dyDescent="0.25">
      <c r="A60" s="16" t="s">
        <v>297</v>
      </c>
      <c r="B60" s="16" t="s">
        <v>38</v>
      </c>
      <c r="C60" s="16">
        <v>2</v>
      </c>
      <c r="D60" s="16" t="s">
        <v>306</v>
      </c>
      <c r="E60" s="22" t="s">
        <v>299</v>
      </c>
      <c r="F60" s="16" t="s">
        <v>300</v>
      </c>
      <c r="G60" s="18" t="str">
        <f t="shared" si="2"/>
        <v>Glaze</v>
      </c>
      <c r="H60" s="23" t="str">
        <f t="shared" si="3"/>
        <v>🜃</v>
      </c>
      <c r="I60" s="20" t="str">
        <f>Ice!$E$8</f>
        <v>creeping cold on the ground that grips and slows</v>
      </c>
      <c r="J60" s="21" t="s">
        <v>301</v>
      </c>
      <c r="K60" s="50" t="s">
        <v>1079</v>
      </c>
      <c r="L60" s="51">
        <v>0.4</v>
      </c>
      <c r="M60" s="52">
        <f>IFERROR(INDEX('Bond Rules'!$B$4:$B$7,MATCH(K60,'Bond Rules'!$A$4:$A$7,0)),"")</f>
        <v>2</v>
      </c>
      <c r="N60" s="53">
        <f>IFERROR(ROUND('Bond Rules'!$B$9+L60*INDEX('Bond Rules'!$C$4:$C$7,MATCH(K60,'Bond Rules'!$A$4:$A$7,0)),2),"")</f>
        <v>2.9</v>
      </c>
    </row>
    <row r="61" spans="1:15" ht="24" customHeight="1" x14ac:dyDescent="0.25">
      <c r="A61" s="16" t="s">
        <v>300</v>
      </c>
      <c r="B61" s="16" t="s">
        <v>38</v>
      </c>
      <c r="C61" s="16">
        <v>2</v>
      </c>
      <c r="D61" s="16" t="s">
        <v>1133</v>
      </c>
      <c r="E61" s="22" t="s">
        <v>303</v>
      </c>
      <c r="F61" s="16" t="s">
        <v>297</v>
      </c>
      <c r="G61" s="18" t="str">
        <f t="shared" si="2"/>
        <v>Frost</v>
      </c>
      <c r="H61" s="23" t="str">
        <f t="shared" si="3"/>
        <v>🜂</v>
      </c>
      <c r="I61" s="20" t="str">
        <f>Ice!$E$9</f>
        <v>glazed ice: fast and slippery</v>
      </c>
      <c r="J61" s="21" t="s">
        <v>304</v>
      </c>
      <c r="K61" s="50" t="s">
        <v>1079</v>
      </c>
      <c r="L61" s="51">
        <v>-0.5</v>
      </c>
      <c r="M61" s="52">
        <f>IFERROR(INDEX('Bond Rules'!$B$4:$B$7,MATCH(K61,'Bond Rules'!$A$4:$A$7,0)),"")</f>
        <v>2</v>
      </c>
      <c r="N61" s="53">
        <f>IFERROR(ROUND('Bond Rules'!$B$9+L61*INDEX('Bond Rules'!$C$4:$C$7,MATCH(K61,'Bond Rules'!$A$4:$A$7,0)),2),"")</f>
        <v>2</v>
      </c>
    </row>
    <row r="62" spans="1:15" ht="24" customHeight="1" x14ac:dyDescent="0.25">
      <c r="A62" s="16" t="s">
        <v>305</v>
      </c>
      <c r="B62" s="16" t="s">
        <v>38</v>
      </c>
      <c r="C62" s="16">
        <v>3</v>
      </c>
      <c r="D62" s="16" t="s">
        <v>1134</v>
      </c>
      <c r="E62" s="22" t="s">
        <v>307</v>
      </c>
      <c r="F62" s="16" t="s">
        <v>308</v>
      </c>
      <c r="G62" s="18" t="str">
        <f t="shared" si="2"/>
        <v>Melt</v>
      </c>
      <c r="H62" s="23" t="str">
        <f t="shared" si="3"/>
        <v>🜅</v>
      </c>
      <c r="I62" s="20" t="str">
        <f>Ice!$E$10</f>
        <v>a fall of snow that blinds and buries</v>
      </c>
      <c r="J62" s="21" t="s">
        <v>309</v>
      </c>
      <c r="K62" s="50" t="s">
        <v>1082</v>
      </c>
      <c r="L62" s="51">
        <v>-0.5</v>
      </c>
      <c r="M62" s="52">
        <f>IFERROR(INDEX('Bond Rules'!$B$4:$B$7,MATCH(K62,'Bond Rules'!$A$4:$A$7,0)),"")</f>
        <v>3</v>
      </c>
      <c r="N62" s="53">
        <f>IFERROR(ROUND('Bond Rules'!$B$9+L62*INDEX('Bond Rules'!$C$4:$C$7,MATCH(K62,'Bond Rules'!$A$4:$A$7,0)),2),"")</f>
        <v>2.15</v>
      </c>
    </row>
    <row r="63" spans="1:15" ht="24" customHeight="1" x14ac:dyDescent="0.25">
      <c r="A63" s="16" t="s">
        <v>308</v>
      </c>
      <c r="B63" s="16" t="s">
        <v>38</v>
      </c>
      <c r="C63" s="16">
        <v>3</v>
      </c>
      <c r="D63" s="16" t="s">
        <v>1135</v>
      </c>
      <c r="E63" s="22" t="s">
        <v>310</v>
      </c>
      <c r="F63" s="16" t="s">
        <v>305</v>
      </c>
      <c r="G63" s="18" t="str">
        <f t="shared" si="2"/>
        <v>Snow</v>
      </c>
      <c r="H63" s="23" t="str">
        <f t="shared" si="3"/>
        <v>🜄</v>
      </c>
      <c r="I63" s="20" t="str">
        <f>Ice!$E$11</f>
        <v>turn ice and snow to water</v>
      </c>
      <c r="J63" s="21" t="s">
        <v>311</v>
      </c>
      <c r="K63" s="50" t="s">
        <v>1079</v>
      </c>
      <c r="L63" s="51">
        <v>0.4</v>
      </c>
      <c r="M63" s="52">
        <f>IFERROR(INDEX('Bond Rules'!$B$4:$B$7,MATCH(K63,'Bond Rules'!$A$4:$A$7,0)),"")</f>
        <v>2</v>
      </c>
      <c r="N63" s="53">
        <f>IFERROR(ROUND('Bond Rules'!$B$9+L63*INDEX('Bond Rules'!$C$4:$C$7,MATCH(K63,'Bond Rules'!$A$4:$A$7,0)),2),"")</f>
        <v>2.9</v>
      </c>
    </row>
    <row r="64" spans="1:15" ht="24" customHeight="1" x14ac:dyDescent="0.25">
      <c r="A64" s="16" t="s">
        <v>312</v>
      </c>
      <c r="B64" s="16" t="s">
        <v>38</v>
      </c>
      <c r="C64" s="16">
        <v>4</v>
      </c>
      <c r="D64" s="16" t="s">
        <v>298</v>
      </c>
      <c r="E64" s="22" t="s">
        <v>314</v>
      </c>
      <c r="F64" s="16" t="s">
        <v>315</v>
      </c>
      <c r="G64" s="18" t="str">
        <f t="shared" si="2"/>
        <v>Shatter</v>
      </c>
      <c r="H64" s="23" t="str">
        <f t="shared" si="3"/>
        <v>🜇</v>
      </c>
      <c r="I64" s="20" t="str">
        <f>Ice!$E$12</f>
        <v>build ice: walls, armour, spikes</v>
      </c>
      <c r="J64" s="21" t="s">
        <v>316</v>
      </c>
      <c r="K64" s="50" t="s">
        <v>1085</v>
      </c>
      <c r="L64" s="51">
        <v>0.3</v>
      </c>
      <c r="M64" s="52">
        <f>IFERROR(INDEX('Bond Rules'!$B$4:$B$7,MATCH(K64,'Bond Rules'!$A$4:$A$7,0)),"")</f>
        <v>4</v>
      </c>
      <c r="N64" s="53">
        <f>IFERROR(ROUND('Bond Rules'!$B$9+L64*INDEX('Bond Rules'!$C$4:$C$7,MATCH(K64,'Bond Rules'!$A$4:$A$7,0)),2),"")</f>
        <v>2.62</v>
      </c>
    </row>
    <row r="65" spans="1:14" ht="24" customHeight="1" x14ac:dyDescent="0.25">
      <c r="A65" s="16" t="s">
        <v>315</v>
      </c>
      <c r="B65" s="16" t="s">
        <v>38</v>
      </c>
      <c r="C65" s="16">
        <v>4</v>
      </c>
      <c r="D65" s="16" t="s">
        <v>302</v>
      </c>
      <c r="E65" s="22" t="s">
        <v>318</v>
      </c>
      <c r="F65" s="16" t="s">
        <v>312</v>
      </c>
      <c r="G65" s="18" t="str">
        <f t="shared" si="2"/>
        <v>Rime</v>
      </c>
      <c r="H65" s="23" t="str">
        <f t="shared" si="3"/>
        <v>🜆</v>
      </c>
      <c r="I65" s="20" t="str">
        <f>Ice!$E$13</f>
        <v>break ice; brittle things burst</v>
      </c>
      <c r="J65" s="21" t="s">
        <v>319</v>
      </c>
      <c r="K65" s="50" t="s">
        <v>1082</v>
      </c>
      <c r="L65" s="51">
        <v>-0.9</v>
      </c>
      <c r="M65" s="52">
        <f>IFERROR(INDEX('Bond Rules'!$B$4:$B$7,MATCH(K65,'Bond Rules'!$A$4:$A$7,0)),"")</f>
        <v>3</v>
      </c>
      <c r="N65" s="53">
        <f>IFERROR(ROUND('Bond Rules'!$B$9+L65*INDEX('Bond Rules'!$C$4:$C$7,MATCH(K65,'Bond Rules'!$A$4:$A$7,0)),2),"")</f>
        <v>1.87</v>
      </c>
    </row>
    <row r="66" spans="1:14" ht="24" customHeight="1" x14ac:dyDescent="0.25">
      <c r="A66" s="16" t="s">
        <v>320</v>
      </c>
      <c r="B66" s="16" t="s">
        <v>38</v>
      </c>
      <c r="C66" s="16">
        <v>5</v>
      </c>
      <c r="D66" s="16" t="s">
        <v>313</v>
      </c>
      <c r="E66" s="22" t="s">
        <v>321</v>
      </c>
      <c r="F66" s="16" t="s">
        <v>322</v>
      </c>
      <c r="G66" s="18" t="str">
        <f t="shared" ref="G66:G97" si="4">IFERROR(INDEX($D:$D,MATCH($F66,$A:$A,0)),"")</f>
        <v>Toughen</v>
      </c>
      <c r="H66" s="23" t="str">
        <f t="shared" ref="H66:H97" si="5">IFERROR(INDEX($E:$E,MATCH($F66,$A:$A,0)),"")</f>
        <v>🜉</v>
      </c>
      <c r="I66" s="20" t="str">
        <f>Ice!$E$14</f>
        <v>make a thing fragile</v>
      </c>
      <c r="J66" s="21" t="s">
        <v>323</v>
      </c>
      <c r="K66" s="50" t="s">
        <v>1079</v>
      </c>
      <c r="L66" s="51">
        <v>-0.3</v>
      </c>
      <c r="M66" s="52">
        <f>IFERROR(INDEX('Bond Rules'!$B$4:$B$7,MATCH(K66,'Bond Rules'!$A$4:$A$7,0)),"")</f>
        <v>2</v>
      </c>
      <c r="N66" s="53">
        <f>IFERROR(ROUND('Bond Rules'!$B$9+L66*INDEX('Bond Rules'!$C$4:$C$7,MATCH(K66,'Bond Rules'!$A$4:$A$7,0)),2),"")</f>
        <v>2.2000000000000002</v>
      </c>
    </row>
    <row r="67" spans="1:14" ht="24" customHeight="1" x14ac:dyDescent="0.25">
      <c r="A67" s="16" t="s">
        <v>322</v>
      </c>
      <c r="B67" s="16" t="s">
        <v>38</v>
      </c>
      <c r="C67" s="16">
        <v>5</v>
      </c>
      <c r="D67" s="16" t="s">
        <v>317</v>
      </c>
      <c r="E67" s="22" t="s">
        <v>324</v>
      </c>
      <c r="F67" s="16" t="s">
        <v>320</v>
      </c>
      <c r="G67" s="18" t="str">
        <f t="shared" si="4"/>
        <v>Brittle</v>
      </c>
      <c r="H67" s="23" t="str">
        <f t="shared" si="5"/>
        <v>🜈</v>
      </c>
      <c r="I67" s="20" t="str">
        <f>Ice!$E$15</f>
        <v>cold-harden it</v>
      </c>
      <c r="J67" s="21" t="s">
        <v>325</v>
      </c>
      <c r="K67" s="50" t="s">
        <v>1085</v>
      </c>
      <c r="L67" s="51">
        <v>0.3</v>
      </c>
      <c r="M67" s="52">
        <f>IFERROR(INDEX('Bond Rules'!$B$4:$B$7,MATCH(K67,'Bond Rules'!$A$4:$A$7,0)),"")</f>
        <v>4</v>
      </c>
      <c r="N67" s="53">
        <f>IFERROR(ROUND('Bond Rules'!$B$9+L67*INDEX('Bond Rules'!$C$4:$C$7,MATCH(K67,'Bond Rules'!$A$4:$A$7,0)),2),"")</f>
        <v>2.62</v>
      </c>
    </row>
    <row r="68" spans="1:14" ht="24" customHeight="1" x14ac:dyDescent="0.25">
      <c r="A68" s="16" t="s">
        <v>326</v>
      </c>
      <c r="B68" s="16" t="s">
        <v>42</v>
      </c>
      <c r="C68" s="16">
        <v>1</v>
      </c>
      <c r="D68" s="16" t="s">
        <v>1136</v>
      </c>
      <c r="E68" s="22" t="s">
        <v>327</v>
      </c>
      <c r="F68" s="16" t="s">
        <v>328</v>
      </c>
      <c r="G68" s="18" t="str">
        <f t="shared" si="4"/>
        <v>Lighten</v>
      </c>
      <c r="H68" s="23" t="str">
        <f t="shared" si="5"/>
        <v>🜋</v>
      </c>
      <c r="I68" s="20" t="str">
        <f>Dark!$E$6</f>
        <v>make it darker</v>
      </c>
      <c r="J68" s="21" t="s">
        <v>329</v>
      </c>
      <c r="K68" s="50" t="s">
        <v>1079</v>
      </c>
      <c r="L68" s="51">
        <v>0.5</v>
      </c>
      <c r="M68" s="52">
        <f>IFERROR(INDEX('Bond Rules'!$B$4:$B$7,MATCH(K68,'Bond Rules'!$A$4:$A$7,0)),"")</f>
        <v>2</v>
      </c>
      <c r="N68" s="53">
        <f>IFERROR(ROUND('Bond Rules'!$B$9+L68*INDEX('Bond Rules'!$C$4:$C$7,MATCH(K68,'Bond Rules'!$A$4:$A$7,0)),2),"")</f>
        <v>3</v>
      </c>
    </row>
    <row r="69" spans="1:14" ht="24" customHeight="1" x14ac:dyDescent="0.25">
      <c r="A69" s="16" t="s">
        <v>328</v>
      </c>
      <c r="B69" s="16" t="s">
        <v>42</v>
      </c>
      <c r="C69" s="16">
        <v>1</v>
      </c>
      <c r="D69" s="16" t="s">
        <v>1137</v>
      </c>
      <c r="E69" s="22" t="s">
        <v>330</v>
      </c>
      <c r="F69" s="16" t="s">
        <v>326</v>
      </c>
      <c r="G69" s="18" t="str">
        <f t="shared" si="4"/>
        <v>Darken</v>
      </c>
      <c r="H69" s="23" t="str">
        <f t="shared" si="5"/>
        <v>🜊</v>
      </c>
      <c r="I69" s="20" t="str">
        <f>Dark!$E$7</f>
        <v>let the light back in</v>
      </c>
      <c r="J69" s="21" t="s">
        <v>331</v>
      </c>
      <c r="K69" s="50" t="s">
        <v>1082</v>
      </c>
      <c r="L69" s="51">
        <v>-0.6</v>
      </c>
      <c r="M69" s="52">
        <f>IFERROR(INDEX('Bond Rules'!$B$4:$B$7,MATCH(K69,'Bond Rules'!$A$4:$A$7,0)),"")</f>
        <v>3</v>
      </c>
      <c r="N69" s="53">
        <f>IFERROR(ROUND('Bond Rules'!$B$9+L69*INDEX('Bond Rules'!$C$4:$C$7,MATCH(K69,'Bond Rules'!$A$4:$A$7,0)),2),"")</f>
        <v>2.08</v>
      </c>
    </row>
    <row r="70" spans="1:14" ht="24" customHeight="1" x14ac:dyDescent="0.25">
      <c r="A70" s="16" t="s">
        <v>332</v>
      </c>
      <c r="B70" s="16" t="s">
        <v>42</v>
      </c>
      <c r="C70" s="16">
        <v>2</v>
      </c>
      <c r="D70" s="16" t="s">
        <v>1138</v>
      </c>
      <c r="E70" s="22" t="s">
        <v>333</v>
      </c>
      <c r="F70" s="16" t="s">
        <v>334</v>
      </c>
      <c r="G70" s="18" t="str">
        <f t="shared" si="4"/>
        <v>Expose</v>
      </c>
      <c r="H70" s="23" t="str">
        <f t="shared" si="5"/>
        <v>🜍</v>
      </c>
      <c r="I70" s="20" t="str">
        <f>Dark!$E$8</f>
        <v>hide a thing in darkness</v>
      </c>
      <c r="J70" s="21" t="s">
        <v>335</v>
      </c>
      <c r="K70" s="50" t="s">
        <v>1085</v>
      </c>
      <c r="L70" s="51">
        <v>0.3</v>
      </c>
      <c r="M70" s="52">
        <f>IFERROR(INDEX('Bond Rules'!$B$4:$B$7,MATCH(K70,'Bond Rules'!$A$4:$A$7,0)),"")</f>
        <v>4</v>
      </c>
      <c r="N70" s="53">
        <f>IFERROR(ROUND('Bond Rules'!$B$9+L70*INDEX('Bond Rules'!$C$4:$C$7,MATCH(K70,'Bond Rules'!$A$4:$A$7,0)),2),"")</f>
        <v>2.62</v>
      </c>
    </row>
    <row r="71" spans="1:14" ht="24" customHeight="1" x14ac:dyDescent="0.25">
      <c r="A71" s="16" t="s">
        <v>334</v>
      </c>
      <c r="B71" s="16" t="s">
        <v>42</v>
      </c>
      <c r="C71" s="16">
        <v>2</v>
      </c>
      <c r="D71" s="16" t="s">
        <v>554</v>
      </c>
      <c r="E71" s="22" t="s">
        <v>336</v>
      </c>
      <c r="F71" s="16" t="s">
        <v>332</v>
      </c>
      <c r="G71" s="18" t="str">
        <f t="shared" si="4"/>
        <v>Obscure</v>
      </c>
      <c r="H71" s="23" t="str">
        <f t="shared" si="5"/>
        <v>🜌</v>
      </c>
      <c r="I71" s="20" t="str">
        <f>Dark!$E$9</f>
        <v>make a hidden target stand out</v>
      </c>
      <c r="J71" s="21" t="s">
        <v>337</v>
      </c>
      <c r="K71" s="50" t="s">
        <v>1076</v>
      </c>
      <c r="L71" s="51">
        <v>-0.4</v>
      </c>
      <c r="M71" s="52">
        <f>IFERROR(INDEX('Bond Rules'!$B$4:$B$7,MATCH(K71,'Bond Rules'!$A$4:$A$7,0)),"")</f>
        <v>1</v>
      </c>
      <c r="N71" s="53">
        <f>IFERROR(ROUND('Bond Rules'!$B$9+L71*INDEX('Bond Rules'!$C$4:$C$7,MATCH(K71,'Bond Rules'!$A$4:$A$7,0)),2),"")</f>
        <v>1.9</v>
      </c>
    </row>
    <row r="72" spans="1:14" ht="24" customHeight="1" x14ac:dyDescent="0.25">
      <c r="A72" s="16" t="s">
        <v>338</v>
      </c>
      <c r="B72" s="16" t="s">
        <v>42</v>
      </c>
      <c r="C72" s="16">
        <v>3</v>
      </c>
      <c r="D72" s="16" t="s">
        <v>339</v>
      </c>
      <c r="E72" s="22" t="s">
        <v>340</v>
      </c>
      <c r="F72" s="16" t="s">
        <v>341</v>
      </c>
      <c r="G72" s="18" t="str">
        <f t="shared" si="4"/>
        <v>Pin</v>
      </c>
      <c r="H72" s="23" t="str">
        <f t="shared" si="5"/>
        <v>🜏</v>
      </c>
      <c r="I72" s="20" t="str">
        <f>Dark!$E$10</f>
        <v>move through shadows</v>
      </c>
      <c r="J72" s="21" t="s">
        <v>342</v>
      </c>
      <c r="K72" s="50" t="s">
        <v>1079</v>
      </c>
      <c r="L72" s="51">
        <v>-0.3</v>
      </c>
      <c r="M72" s="52">
        <f>IFERROR(INDEX('Bond Rules'!$B$4:$B$7,MATCH(K72,'Bond Rules'!$A$4:$A$7,0)),"")</f>
        <v>2</v>
      </c>
      <c r="N72" s="53">
        <f>IFERROR(ROUND('Bond Rules'!$B$9+L72*INDEX('Bond Rules'!$C$4:$C$7,MATCH(K72,'Bond Rules'!$A$4:$A$7,0)),2),"")</f>
        <v>2.2000000000000002</v>
      </c>
    </row>
    <row r="73" spans="1:14" ht="24" customHeight="1" x14ac:dyDescent="0.25">
      <c r="A73" s="16" t="s">
        <v>341</v>
      </c>
      <c r="B73" s="16" t="s">
        <v>42</v>
      </c>
      <c r="C73" s="16">
        <v>3</v>
      </c>
      <c r="D73" s="16" t="s">
        <v>343</v>
      </c>
      <c r="E73" s="22" t="s">
        <v>344</v>
      </c>
      <c r="F73" s="16" t="s">
        <v>338</v>
      </c>
      <c r="G73" s="18" t="str">
        <f t="shared" si="4"/>
        <v>Shadowstep</v>
      </c>
      <c r="H73" s="23" t="str">
        <f t="shared" si="5"/>
        <v>🜎</v>
      </c>
      <c r="I73" s="20" t="str">
        <f>Dark!$E$11</f>
        <v>nail a target's shadow, and the target with it</v>
      </c>
      <c r="J73" s="21" t="s">
        <v>345</v>
      </c>
      <c r="K73" s="50" t="s">
        <v>1076</v>
      </c>
      <c r="L73" s="51">
        <v>0.9</v>
      </c>
      <c r="M73" s="52">
        <f>IFERROR(INDEX('Bond Rules'!$B$4:$B$7,MATCH(K73,'Bond Rules'!$A$4:$A$7,0)),"")</f>
        <v>1</v>
      </c>
      <c r="N73" s="53">
        <f>IFERROR(ROUND('Bond Rules'!$B$9+L73*INDEX('Bond Rules'!$C$4:$C$7,MATCH(K73,'Bond Rules'!$A$4:$A$7,0)),2),"")</f>
        <v>3.85</v>
      </c>
    </row>
    <row r="74" spans="1:14" ht="24" customHeight="1" x14ac:dyDescent="0.25">
      <c r="A74" s="16" t="s">
        <v>346</v>
      </c>
      <c r="B74" s="16" t="s">
        <v>42</v>
      </c>
      <c r="C74" s="16">
        <v>4</v>
      </c>
      <c r="D74" s="16" t="s">
        <v>359</v>
      </c>
      <c r="E74" s="22" t="s">
        <v>348</v>
      </c>
      <c r="F74" s="16" t="s">
        <v>349</v>
      </c>
      <c r="G74" s="18" t="str">
        <f t="shared" si="4"/>
        <v>Resound</v>
      </c>
      <c r="H74" s="23" t="str">
        <f t="shared" si="5"/>
        <v>🜑</v>
      </c>
      <c r="I74" s="20" t="str">
        <f>Dark!$E$12</f>
        <v>smother sound</v>
      </c>
      <c r="J74" s="21" t="s">
        <v>350</v>
      </c>
      <c r="K74" s="50" t="s">
        <v>1076</v>
      </c>
      <c r="L74" s="51">
        <v>0.4</v>
      </c>
      <c r="M74" s="52">
        <f>IFERROR(INDEX('Bond Rules'!$B$4:$B$7,MATCH(K74,'Bond Rules'!$A$4:$A$7,0)),"")</f>
        <v>1</v>
      </c>
      <c r="N74" s="53">
        <f>IFERROR(ROUND('Bond Rules'!$B$9+L74*INDEX('Bond Rules'!$C$4:$C$7,MATCH(K74,'Bond Rules'!$A$4:$A$7,0)),2),"")</f>
        <v>3.1</v>
      </c>
    </row>
    <row r="75" spans="1:14" ht="24" customHeight="1" x14ac:dyDescent="0.25">
      <c r="A75" s="16" t="s">
        <v>349</v>
      </c>
      <c r="B75" s="16" t="s">
        <v>42</v>
      </c>
      <c r="C75" s="16">
        <v>4</v>
      </c>
      <c r="D75" s="16" t="s">
        <v>1139</v>
      </c>
      <c r="E75" s="22" t="s">
        <v>352</v>
      </c>
      <c r="F75" s="16" t="s">
        <v>346</v>
      </c>
      <c r="G75" s="18" t="str">
        <f t="shared" si="4"/>
        <v>Hush</v>
      </c>
      <c r="H75" s="23" t="str">
        <f t="shared" si="5"/>
        <v>🜐</v>
      </c>
      <c r="I75" s="20" t="str">
        <f>Dark!$E$13</f>
        <v>sound carries and echoes in the dark</v>
      </c>
      <c r="J75" s="21" t="s">
        <v>353</v>
      </c>
      <c r="K75" s="50" t="s">
        <v>1082</v>
      </c>
      <c r="L75" s="51">
        <v>-0.5</v>
      </c>
      <c r="M75" s="52">
        <f>IFERROR(INDEX('Bond Rules'!$B$4:$B$7,MATCH(K75,'Bond Rules'!$A$4:$A$7,0)),"")</f>
        <v>3</v>
      </c>
      <c r="N75" s="53">
        <f>IFERROR(ROUND('Bond Rules'!$B$9+L75*INDEX('Bond Rules'!$C$4:$C$7,MATCH(K75,'Bond Rules'!$A$4:$A$7,0)),2),"")</f>
        <v>2.15</v>
      </c>
    </row>
    <row r="76" spans="1:14" ht="24" customHeight="1" x14ac:dyDescent="0.25">
      <c r="A76" s="16" t="s">
        <v>354</v>
      </c>
      <c r="B76" s="16" t="s">
        <v>42</v>
      </c>
      <c r="C76" s="16">
        <v>5</v>
      </c>
      <c r="D76" s="16" t="s">
        <v>347</v>
      </c>
      <c r="E76" s="22" t="s">
        <v>356</v>
      </c>
      <c r="F76" s="16" t="s">
        <v>357</v>
      </c>
      <c r="G76" s="18" t="str">
        <f t="shared" si="4"/>
        <v>Disgorge</v>
      </c>
      <c r="H76" s="23" t="str">
        <f t="shared" si="5"/>
        <v>🜓</v>
      </c>
      <c r="I76" s="20" t="str">
        <f>Dark!$E$14</f>
        <v>swallow light and energy</v>
      </c>
      <c r="J76" s="21" t="s">
        <v>358</v>
      </c>
      <c r="K76" s="50" t="s">
        <v>1076</v>
      </c>
      <c r="L76" s="51">
        <v>1</v>
      </c>
      <c r="M76" s="52">
        <f>IFERROR(INDEX('Bond Rules'!$B$4:$B$7,MATCH(K76,'Bond Rules'!$A$4:$A$7,0)),"")</f>
        <v>1</v>
      </c>
      <c r="N76" s="53">
        <f>IFERROR(ROUND('Bond Rules'!$B$9+L76*INDEX('Bond Rules'!$C$4:$C$7,MATCH(K76,'Bond Rules'!$A$4:$A$7,0)),2),"")</f>
        <v>4</v>
      </c>
    </row>
    <row r="77" spans="1:14" ht="24" customHeight="1" x14ac:dyDescent="0.25">
      <c r="A77" s="16" t="s">
        <v>357</v>
      </c>
      <c r="B77" s="16" t="s">
        <v>42</v>
      </c>
      <c r="C77" s="16">
        <v>5</v>
      </c>
      <c r="D77" s="16" t="s">
        <v>351</v>
      </c>
      <c r="E77" s="22" t="s">
        <v>360</v>
      </c>
      <c r="F77" s="16" t="s">
        <v>354</v>
      </c>
      <c r="G77" s="18" t="str">
        <f t="shared" si="4"/>
        <v>Devour</v>
      </c>
      <c r="H77" s="23" t="str">
        <f t="shared" si="5"/>
        <v>🜒</v>
      </c>
      <c r="I77" s="20" t="str">
        <f>Dark!$E$15</f>
        <v>release what was swallowed</v>
      </c>
      <c r="J77" s="21" t="s">
        <v>361</v>
      </c>
      <c r="K77" s="50" t="s">
        <v>1082</v>
      </c>
      <c r="L77" s="51">
        <v>-1</v>
      </c>
      <c r="M77" s="52">
        <f>IFERROR(INDEX('Bond Rules'!$B$4:$B$7,MATCH(K77,'Bond Rules'!$A$4:$A$7,0)),"")</f>
        <v>3</v>
      </c>
      <c r="N77" s="53">
        <f>IFERROR(ROUND('Bond Rules'!$B$9+L77*INDEX('Bond Rules'!$C$4:$C$7,MATCH(K77,'Bond Rules'!$A$4:$A$7,0)),2),"")</f>
        <v>1.8</v>
      </c>
    </row>
    <row r="78" spans="1:14" ht="24" customHeight="1" x14ac:dyDescent="0.25">
      <c r="A78" s="16" t="s">
        <v>362</v>
      </c>
      <c r="B78" s="16" t="s">
        <v>45</v>
      </c>
      <c r="C78" s="16">
        <v>1</v>
      </c>
      <c r="D78" s="16" t="s">
        <v>363</v>
      </c>
      <c r="E78" s="22" t="s">
        <v>364</v>
      </c>
      <c r="F78" s="16" t="s">
        <v>365</v>
      </c>
      <c r="G78" s="18" t="str">
        <f t="shared" si="4"/>
        <v>Rust</v>
      </c>
      <c r="H78" s="23" t="str">
        <f t="shared" si="5"/>
        <v>🜕</v>
      </c>
      <c r="I78" s="20" t="str">
        <f>Metal!$E$6</f>
        <v>shape and harden metal</v>
      </c>
      <c r="J78" s="21" t="s">
        <v>366</v>
      </c>
      <c r="K78" s="50" t="s">
        <v>1085</v>
      </c>
      <c r="L78" s="51">
        <v>0.2</v>
      </c>
      <c r="M78" s="52">
        <f>IFERROR(INDEX('Bond Rules'!$B$4:$B$7,MATCH(K78,'Bond Rules'!$A$4:$A$7,0)),"")</f>
        <v>4</v>
      </c>
      <c r="N78" s="53">
        <f>IFERROR(ROUND('Bond Rules'!$B$9+L78*INDEX('Bond Rules'!$C$4:$C$7,MATCH(K78,'Bond Rules'!$A$4:$A$7,0)),2),"")</f>
        <v>2.58</v>
      </c>
    </row>
    <row r="79" spans="1:14" ht="24" customHeight="1" x14ac:dyDescent="0.25">
      <c r="A79" s="16" t="s">
        <v>365</v>
      </c>
      <c r="B79" s="16" t="s">
        <v>45</v>
      </c>
      <c r="C79" s="16">
        <v>1</v>
      </c>
      <c r="D79" s="16" t="s">
        <v>367</v>
      </c>
      <c r="E79" s="22" t="s">
        <v>368</v>
      </c>
      <c r="F79" s="16" t="s">
        <v>362</v>
      </c>
      <c r="G79" s="18" t="str">
        <f t="shared" si="4"/>
        <v>Forge</v>
      </c>
      <c r="H79" s="23" t="str">
        <f t="shared" si="5"/>
        <v>🜔</v>
      </c>
      <c r="I79" s="20" t="str">
        <f>Metal!$E$7</f>
        <v>corrode it</v>
      </c>
      <c r="J79" s="21" t="s">
        <v>369</v>
      </c>
      <c r="K79" s="50" t="s">
        <v>1079</v>
      </c>
      <c r="L79" s="51">
        <v>-0.5</v>
      </c>
      <c r="M79" s="52">
        <f>IFERROR(INDEX('Bond Rules'!$B$4:$B$7,MATCH(K79,'Bond Rules'!$A$4:$A$7,0)),"")</f>
        <v>2</v>
      </c>
      <c r="N79" s="53">
        <f>IFERROR(ROUND('Bond Rules'!$B$9+L79*INDEX('Bond Rules'!$C$4:$C$7,MATCH(K79,'Bond Rules'!$A$4:$A$7,0)),2),"")</f>
        <v>2</v>
      </c>
    </row>
    <row r="80" spans="1:14" ht="24" customHeight="1" x14ac:dyDescent="0.25">
      <c r="A80" s="16" t="s">
        <v>370</v>
      </c>
      <c r="B80" s="16" t="s">
        <v>45</v>
      </c>
      <c r="C80" s="16">
        <v>2</v>
      </c>
      <c r="D80" s="16" t="s">
        <v>164</v>
      </c>
      <c r="E80" s="22" t="s">
        <v>371</v>
      </c>
      <c r="F80" s="16" t="s">
        <v>372</v>
      </c>
      <c r="G80" s="18" t="str">
        <f t="shared" si="4"/>
        <v>Sunder</v>
      </c>
      <c r="H80" s="23" t="str">
        <f t="shared" si="5"/>
        <v>🜗</v>
      </c>
      <c r="I80" s="20" t="str">
        <f>Metal!$E$8</f>
        <v>join metal into one piece</v>
      </c>
      <c r="J80" s="21" t="s">
        <v>373</v>
      </c>
      <c r="K80" s="50" t="s">
        <v>1085</v>
      </c>
      <c r="L80" s="51">
        <v>0.5</v>
      </c>
      <c r="M80" s="52">
        <f>IFERROR(INDEX('Bond Rules'!$B$4:$B$7,MATCH(K80,'Bond Rules'!$A$4:$A$7,0)),"")</f>
        <v>4</v>
      </c>
      <c r="N80" s="53">
        <f>IFERROR(ROUND('Bond Rules'!$B$9+L80*INDEX('Bond Rules'!$C$4:$C$7,MATCH(K80,'Bond Rules'!$A$4:$A$7,0)),2),"")</f>
        <v>2.7</v>
      </c>
    </row>
    <row r="81" spans="1:14" ht="24" customHeight="1" x14ac:dyDescent="0.25">
      <c r="A81" s="16" t="s">
        <v>372</v>
      </c>
      <c r="B81" s="16" t="s">
        <v>45</v>
      </c>
      <c r="C81" s="16">
        <v>2</v>
      </c>
      <c r="D81" s="16" t="s">
        <v>1140</v>
      </c>
      <c r="E81" s="22" t="s">
        <v>374</v>
      </c>
      <c r="F81" s="16" t="s">
        <v>370</v>
      </c>
      <c r="G81" s="18" t="str">
        <f t="shared" si="4"/>
        <v>Fuse</v>
      </c>
      <c r="H81" s="23" t="str">
        <f t="shared" si="5"/>
        <v>🜖</v>
      </c>
      <c r="I81" s="20" t="str">
        <f>Metal!$E$9</f>
        <v>split it apart</v>
      </c>
      <c r="J81" s="21" t="s">
        <v>375</v>
      </c>
      <c r="K81" s="50" t="s">
        <v>1082</v>
      </c>
      <c r="L81" s="51">
        <v>-0.7</v>
      </c>
      <c r="M81" s="52">
        <f>IFERROR(INDEX('Bond Rules'!$B$4:$B$7,MATCH(K81,'Bond Rules'!$A$4:$A$7,0)),"")</f>
        <v>3</v>
      </c>
      <c r="N81" s="53">
        <f>IFERROR(ROUND('Bond Rules'!$B$9+L81*INDEX('Bond Rules'!$C$4:$C$7,MATCH(K81,'Bond Rules'!$A$4:$A$7,0)),2),"")</f>
        <v>2.0099999999999998</v>
      </c>
    </row>
    <row r="82" spans="1:14" ht="24" customHeight="1" x14ac:dyDescent="0.25">
      <c r="A82" s="16" t="s">
        <v>376</v>
      </c>
      <c r="B82" s="16" t="s">
        <v>45</v>
      </c>
      <c r="C82" s="16">
        <v>3</v>
      </c>
      <c r="D82" s="16" t="s">
        <v>657</v>
      </c>
      <c r="E82" s="22" t="s">
        <v>378</v>
      </c>
      <c r="F82" s="16" t="s">
        <v>379</v>
      </c>
      <c r="G82" s="18" t="str">
        <f t="shared" si="4"/>
        <v>Breach</v>
      </c>
      <c r="H82" s="23" t="str">
        <f t="shared" si="5"/>
        <v>🜙</v>
      </c>
      <c r="I82" s="20" t="str">
        <f>Metal!$E$10</f>
        <v>close and lock with metal</v>
      </c>
      <c r="J82" s="21" t="s">
        <v>380</v>
      </c>
      <c r="K82" s="50" t="s">
        <v>1076</v>
      </c>
      <c r="L82" s="51">
        <v>0.6</v>
      </c>
      <c r="M82" s="52">
        <f>IFERROR(INDEX('Bond Rules'!$B$4:$B$7,MATCH(K82,'Bond Rules'!$A$4:$A$7,0)),"")</f>
        <v>1</v>
      </c>
      <c r="N82" s="53">
        <f>IFERROR(ROUND('Bond Rules'!$B$9+L82*INDEX('Bond Rules'!$C$4:$C$7,MATCH(K82,'Bond Rules'!$A$4:$A$7,0)),2),"")</f>
        <v>3.4</v>
      </c>
    </row>
    <row r="83" spans="1:14" ht="24" customHeight="1" x14ac:dyDescent="0.25">
      <c r="A83" s="16" t="s">
        <v>379</v>
      </c>
      <c r="B83" s="16" t="s">
        <v>45</v>
      </c>
      <c r="C83" s="16">
        <v>3</v>
      </c>
      <c r="D83" s="16" t="s">
        <v>1141</v>
      </c>
      <c r="E83" s="22" t="s">
        <v>382</v>
      </c>
      <c r="F83" s="16" t="s">
        <v>376</v>
      </c>
      <c r="G83" s="18" t="str">
        <f t="shared" si="4"/>
        <v>Seal</v>
      </c>
      <c r="H83" s="23" t="str">
        <f t="shared" si="5"/>
        <v>🜘</v>
      </c>
      <c r="I83" s="20" t="str">
        <f>Metal!$E$11</f>
        <v>break a seal; punch through plate</v>
      </c>
      <c r="J83" s="21" t="s">
        <v>383</v>
      </c>
      <c r="K83" s="50" t="s">
        <v>1079</v>
      </c>
      <c r="L83" s="51">
        <v>-0.6</v>
      </c>
      <c r="M83" s="52">
        <f>IFERROR(INDEX('Bond Rules'!$B$4:$B$7,MATCH(K83,'Bond Rules'!$A$4:$A$7,0)),"")</f>
        <v>2</v>
      </c>
      <c r="N83" s="53">
        <f>IFERROR(ROUND('Bond Rules'!$B$9+L83*INDEX('Bond Rules'!$C$4:$C$7,MATCH(K83,'Bond Rules'!$A$4:$A$7,0)),2),"")</f>
        <v>1.9</v>
      </c>
    </row>
    <row r="84" spans="1:14" ht="24" customHeight="1" x14ac:dyDescent="0.25">
      <c r="A84" s="16" t="s">
        <v>384</v>
      </c>
      <c r="B84" s="16" t="s">
        <v>45</v>
      </c>
      <c r="C84" s="16">
        <v>4</v>
      </c>
      <c r="D84" s="16" t="s">
        <v>377</v>
      </c>
      <c r="E84" s="22" t="s">
        <v>386</v>
      </c>
      <c r="F84" s="16" t="s">
        <v>387</v>
      </c>
      <c r="G84" s="18" t="str">
        <f t="shared" si="4"/>
        <v>Dull</v>
      </c>
      <c r="H84" s="23" t="str">
        <f t="shared" si="5"/>
        <v>🜛</v>
      </c>
      <c r="I84" s="20" t="str">
        <f>Metal!$E$12</f>
        <v>sharpen</v>
      </c>
      <c r="J84" s="21" t="s">
        <v>388</v>
      </c>
      <c r="K84" s="50" t="s">
        <v>1079</v>
      </c>
      <c r="L84" s="51">
        <v>0.5</v>
      </c>
      <c r="M84" s="52">
        <f>IFERROR(INDEX('Bond Rules'!$B$4:$B$7,MATCH(K84,'Bond Rules'!$A$4:$A$7,0)),"")</f>
        <v>2</v>
      </c>
      <c r="N84" s="53">
        <f>IFERROR(ROUND('Bond Rules'!$B$9+L84*INDEX('Bond Rules'!$C$4:$C$7,MATCH(K84,'Bond Rules'!$A$4:$A$7,0)),2),"")</f>
        <v>3</v>
      </c>
    </row>
    <row r="85" spans="1:14" ht="24" customHeight="1" x14ac:dyDescent="0.25">
      <c r="A85" s="16" t="s">
        <v>387</v>
      </c>
      <c r="B85" s="16" t="s">
        <v>45</v>
      </c>
      <c r="C85" s="16">
        <v>4</v>
      </c>
      <c r="D85" s="16" t="s">
        <v>381</v>
      </c>
      <c r="E85" s="22" t="s">
        <v>390</v>
      </c>
      <c r="F85" s="16" t="s">
        <v>384</v>
      </c>
      <c r="G85" s="18" t="str">
        <f t="shared" si="4"/>
        <v>Hone</v>
      </c>
      <c r="H85" s="23" t="str">
        <f t="shared" si="5"/>
        <v>🜚</v>
      </c>
      <c r="I85" s="20" t="str">
        <f>Metal!$E$13</f>
        <v>blunt edges, theirs included</v>
      </c>
      <c r="J85" s="21" t="s">
        <v>391</v>
      </c>
      <c r="K85" s="50" t="s">
        <v>1079</v>
      </c>
      <c r="L85" s="51">
        <v>-0.4</v>
      </c>
      <c r="M85" s="52">
        <f>IFERROR(INDEX('Bond Rules'!$B$4:$B$7,MATCH(K85,'Bond Rules'!$A$4:$A$7,0)),"")</f>
        <v>2</v>
      </c>
      <c r="N85" s="53">
        <f>IFERROR(ROUND('Bond Rules'!$B$9+L85*INDEX('Bond Rules'!$C$4:$C$7,MATCH(K85,'Bond Rules'!$A$4:$A$7,0)),2),"")</f>
        <v>2.1</v>
      </c>
    </row>
    <row r="86" spans="1:14" ht="24" customHeight="1" x14ac:dyDescent="0.25">
      <c r="A86" s="16" t="s">
        <v>392</v>
      </c>
      <c r="B86" s="16" t="s">
        <v>45</v>
      </c>
      <c r="C86" s="16">
        <v>5</v>
      </c>
      <c r="D86" s="16" t="s">
        <v>385</v>
      </c>
      <c r="E86" s="22" t="s">
        <v>393</v>
      </c>
      <c r="F86" s="16" t="s">
        <v>394</v>
      </c>
      <c r="G86" s="18" t="str">
        <f t="shared" si="4"/>
        <v>Strip</v>
      </c>
      <c r="H86" s="23" t="str">
        <f t="shared" si="5"/>
        <v>🜝</v>
      </c>
      <c r="I86" s="20" t="str">
        <f>Metal!$E$14</f>
        <v>armour up</v>
      </c>
      <c r="J86" s="21" t="s">
        <v>395</v>
      </c>
      <c r="K86" s="50" t="s">
        <v>1085</v>
      </c>
      <c r="L86" s="51">
        <v>-0.2</v>
      </c>
      <c r="M86" s="52">
        <f>IFERROR(INDEX('Bond Rules'!$B$4:$B$7,MATCH(K86,'Bond Rules'!$A$4:$A$7,0)),"")</f>
        <v>4</v>
      </c>
      <c r="N86" s="53">
        <f>IFERROR(ROUND('Bond Rules'!$B$9+L86*INDEX('Bond Rules'!$C$4:$C$7,MATCH(K86,'Bond Rules'!$A$4:$A$7,0)),2),"")</f>
        <v>2.42</v>
      </c>
    </row>
    <row r="87" spans="1:14" ht="24" customHeight="1" x14ac:dyDescent="0.25">
      <c r="A87" s="16" t="s">
        <v>394</v>
      </c>
      <c r="B87" s="16" t="s">
        <v>45</v>
      </c>
      <c r="C87" s="16">
        <v>5</v>
      </c>
      <c r="D87" s="16" t="s">
        <v>389</v>
      </c>
      <c r="E87" s="22" t="s">
        <v>396</v>
      </c>
      <c r="F87" s="16" t="s">
        <v>392</v>
      </c>
      <c r="G87" s="18" t="str">
        <f t="shared" si="4"/>
        <v>Plate</v>
      </c>
      <c r="H87" s="23" t="str">
        <f t="shared" si="5"/>
        <v>🜜</v>
      </c>
      <c r="I87" s="20" t="str">
        <f>Metal!$E$15</f>
        <v>tear armour off</v>
      </c>
      <c r="J87" s="21" t="s">
        <v>397</v>
      </c>
      <c r="K87" s="50" t="s">
        <v>1076</v>
      </c>
      <c r="L87" s="51">
        <v>0.6</v>
      </c>
      <c r="M87" s="52">
        <f>IFERROR(INDEX('Bond Rules'!$B$4:$B$7,MATCH(K87,'Bond Rules'!$A$4:$A$7,0)),"")</f>
        <v>1</v>
      </c>
      <c r="N87" s="53">
        <f>IFERROR(ROUND('Bond Rules'!$B$9+L87*INDEX('Bond Rules'!$C$4:$C$7,MATCH(K87,'Bond Rules'!$A$4:$A$7,0)),2),"")</f>
        <v>3.4</v>
      </c>
    </row>
    <row r="88" spans="1:14" ht="24" customHeight="1" x14ac:dyDescent="0.25">
      <c r="A88" s="16" t="s">
        <v>398</v>
      </c>
      <c r="B88" s="16" t="s">
        <v>48</v>
      </c>
      <c r="C88" s="16">
        <v>1</v>
      </c>
      <c r="D88" s="16" t="s">
        <v>399</v>
      </c>
      <c r="E88" s="22" t="s">
        <v>400</v>
      </c>
      <c r="F88" s="16" t="s">
        <v>401</v>
      </c>
      <c r="G88" s="18" t="str">
        <f t="shared" si="4"/>
        <v>Staunch</v>
      </c>
      <c r="H88" s="23" t="str">
        <f t="shared" si="5"/>
        <v>🜟</v>
      </c>
      <c r="I88" s="20" t="str">
        <f>Blood!$E$6</f>
        <v>open wounds</v>
      </c>
      <c r="J88" s="21" t="s">
        <v>402</v>
      </c>
      <c r="K88" s="50" t="s">
        <v>1079</v>
      </c>
      <c r="L88" s="51">
        <v>-0.6</v>
      </c>
      <c r="M88" s="52">
        <f>IFERROR(INDEX('Bond Rules'!$B$4:$B$7,MATCH(K88,'Bond Rules'!$A$4:$A$7,0)),"")</f>
        <v>2</v>
      </c>
      <c r="N88" s="53">
        <f>IFERROR(ROUND('Bond Rules'!$B$9+L88*INDEX('Bond Rules'!$C$4:$C$7,MATCH(K88,'Bond Rules'!$A$4:$A$7,0)),2),"")</f>
        <v>1.9</v>
      </c>
    </row>
    <row r="89" spans="1:14" ht="24" customHeight="1" x14ac:dyDescent="0.25">
      <c r="A89" s="16" t="s">
        <v>401</v>
      </c>
      <c r="B89" s="16" t="s">
        <v>48</v>
      </c>
      <c r="C89" s="16">
        <v>1</v>
      </c>
      <c r="D89" s="16" t="s">
        <v>403</v>
      </c>
      <c r="E89" s="22" t="s">
        <v>404</v>
      </c>
      <c r="F89" s="16" t="s">
        <v>398</v>
      </c>
      <c r="G89" s="18" t="str">
        <f t="shared" si="4"/>
        <v>Bleed</v>
      </c>
      <c r="H89" s="23" t="str">
        <f t="shared" si="5"/>
        <v>🜞</v>
      </c>
      <c r="I89" s="20" t="str">
        <f>Blood!$E$7</f>
        <v>close them</v>
      </c>
      <c r="J89" s="21" t="s">
        <v>405</v>
      </c>
      <c r="K89" s="50" t="s">
        <v>1076</v>
      </c>
      <c r="L89" s="51">
        <v>0.5</v>
      </c>
      <c r="M89" s="52">
        <f>IFERROR(INDEX('Bond Rules'!$B$4:$B$7,MATCH(K89,'Bond Rules'!$A$4:$A$7,0)),"")</f>
        <v>1</v>
      </c>
      <c r="N89" s="53">
        <f>IFERROR(ROUND('Bond Rules'!$B$9+L89*INDEX('Bond Rules'!$C$4:$C$7,MATCH(K89,'Bond Rules'!$A$4:$A$7,0)),2),"")</f>
        <v>3.25</v>
      </c>
    </row>
    <row r="90" spans="1:14" ht="24" customHeight="1" x14ac:dyDescent="0.25">
      <c r="A90" s="16" t="s">
        <v>406</v>
      </c>
      <c r="B90" s="16" t="s">
        <v>48</v>
      </c>
      <c r="C90" s="16">
        <v>2</v>
      </c>
      <c r="D90" s="16" t="s">
        <v>407</v>
      </c>
      <c r="E90" s="22" t="s">
        <v>408</v>
      </c>
      <c r="F90" s="16" t="s">
        <v>409</v>
      </c>
      <c r="G90" s="18" t="str">
        <f t="shared" si="4"/>
        <v>Spill</v>
      </c>
      <c r="H90" s="23" t="str">
        <f t="shared" si="5"/>
        <v>🜡</v>
      </c>
      <c r="I90" s="20" t="str">
        <f>Blood!$E$8</f>
        <v>take blood in</v>
      </c>
      <c r="J90" s="21" t="s">
        <v>410</v>
      </c>
      <c r="K90" s="50" t="s">
        <v>1079</v>
      </c>
      <c r="L90" s="51">
        <v>1</v>
      </c>
      <c r="M90" s="52">
        <f>IFERROR(INDEX('Bond Rules'!$B$4:$B$7,MATCH(K90,'Bond Rules'!$A$4:$A$7,0)),"")</f>
        <v>2</v>
      </c>
      <c r="N90" s="53">
        <f>IFERROR(ROUND('Bond Rules'!$B$9+L90*INDEX('Bond Rules'!$C$4:$C$7,MATCH(K90,'Bond Rules'!$A$4:$A$7,0)),2),"")</f>
        <v>3.5</v>
      </c>
    </row>
    <row r="91" spans="1:14" ht="24" customHeight="1" x14ac:dyDescent="0.25">
      <c r="A91" s="16" t="s">
        <v>409</v>
      </c>
      <c r="B91" s="16" t="s">
        <v>48</v>
      </c>
      <c r="C91" s="16">
        <v>2</v>
      </c>
      <c r="D91" s="16" t="s">
        <v>411</v>
      </c>
      <c r="E91" s="22" t="s">
        <v>412</v>
      </c>
      <c r="F91" s="16" t="s">
        <v>406</v>
      </c>
      <c r="G91" s="18" t="str">
        <f t="shared" si="4"/>
        <v>Drink</v>
      </c>
      <c r="H91" s="23" t="str">
        <f t="shared" si="5"/>
        <v>🜠</v>
      </c>
      <c r="I91" s="20" t="str">
        <f>Blood!$E$9</f>
        <v>give it out, as a weapon or a gift</v>
      </c>
      <c r="J91" s="21" t="s">
        <v>413</v>
      </c>
      <c r="K91" s="50" t="s">
        <v>1082</v>
      </c>
      <c r="L91" s="51">
        <v>-0.8</v>
      </c>
      <c r="M91" s="52">
        <f>IFERROR(INDEX('Bond Rules'!$B$4:$B$7,MATCH(K91,'Bond Rules'!$A$4:$A$7,0)),"")</f>
        <v>3</v>
      </c>
      <c r="N91" s="53">
        <f>IFERROR(ROUND('Bond Rules'!$B$9+L91*INDEX('Bond Rules'!$C$4:$C$7,MATCH(K91,'Bond Rules'!$A$4:$A$7,0)),2),"")</f>
        <v>1.94</v>
      </c>
    </row>
    <row r="92" spans="1:14" ht="24" customHeight="1" x14ac:dyDescent="0.25">
      <c r="A92" s="16" t="s">
        <v>414</v>
      </c>
      <c r="B92" s="16" t="s">
        <v>48</v>
      </c>
      <c r="C92" s="16">
        <v>3</v>
      </c>
      <c r="D92" s="16" t="s">
        <v>1142</v>
      </c>
      <c r="E92" s="22" t="s">
        <v>415</v>
      </c>
      <c r="F92" s="16" t="s">
        <v>416</v>
      </c>
      <c r="G92" s="18" t="str">
        <f t="shared" si="4"/>
        <v>Thin</v>
      </c>
      <c r="H92" s="23" t="str">
        <f t="shared" si="5"/>
        <v>🜣</v>
      </c>
      <c r="I92" s="20" t="str">
        <f>Blood!$E$10</f>
        <v>blood hardens: armour, blades, a stopped wound</v>
      </c>
      <c r="J92" s="21" t="s">
        <v>417</v>
      </c>
      <c r="K92" s="50" t="s">
        <v>1085</v>
      </c>
      <c r="L92" s="51">
        <v>0.4</v>
      </c>
      <c r="M92" s="52">
        <f>IFERROR(INDEX('Bond Rules'!$B$4:$B$7,MATCH(K92,'Bond Rules'!$A$4:$A$7,0)),"")</f>
        <v>4</v>
      </c>
      <c r="N92" s="53">
        <f>IFERROR(ROUND('Bond Rules'!$B$9+L92*INDEX('Bond Rules'!$C$4:$C$7,MATCH(K92,'Bond Rules'!$A$4:$A$7,0)),2),"")</f>
        <v>2.66</v>
      </c>
    </row>
    <row r="93" spans="1:14" ht="24" customHeight="1" x14ac:dyDescent="0.25">
      <c r="A93" s="16" t="s">
        <v>416</v>
      </c>
      <c r="B93" s="16" t="s">
        <v>48</v>
      </c>
      <c r="C93" s="16">
        <v>3</v>
      </c>
      <c r="D93" s="16" t="s">
        <v>418</v>
      </c>
      <c r="E93" s="22" t="s">
        <v>419</v>
      </c>
      <c r="F93" s="16" t="s">
        <v>414</v>
      </c>
      <c r="G93" s="18" t="str">
        <f t="shared" si="4"/>
        <v>Clot</v>
      </c>
      <c r="H93" s="23" t="str">
        <f t="shared" si="5"/>
        <v>🜢</v>
      </c>
      <c r="I93" s="20" t="str">
        <f>Blood!$E$11</f>
        <v>blood runs quick: speed, reach</v>
      </c>
      <c r="J93" s="21" t="s">
        <v>420</v>
      </c>
      <c r="K93" s="50" t="s">
        <v>1079</v>
      </c>
      <c r="L93" s="51">
        <v>-0.4</v>
      </c>
      <c r="M93" s="52">
        <f>IFERROR(INDEX('Bond Rules'!$B$4:$B$7,MATCH(K93,'Bond Rules'!$A$4:$A$7,0)),"")</f>
        <v>2</v>
      </c>
      <c r="N93" s="53">
        <f>IFERROR(ROUND('Bond Rules'!$B$9+L93*INDEX('Bond Rules'!$C$4:$C$7,MATCH(K93,'Bond Rules'!$A$4:$A$7,0)),2),"")</f>
        <v>2.1</v>
      </c>
    </row>
    <row r="94" spans="1:14" ht="24" customHeight="1" x14ac:dyDescent="0.25">
      <c r="A94" s="16" t="s">
        <v>421</v>
      </c>
      <c r="B94" s="16" t="s">
        <v>48</v>
      </c>
      <c r="C94" s="16">
        <v>4</v>
      </c>
      <c r="D94" s="16" t="s">
        <v>1143</v>
      </c>
      <c r="E94" s="22" t="s">
        <v>422</v>
      </c>
      <c r="F94" s="16" t="s">
        <v>423</v>
      </c>
      <c r="G94" s="18" t="str">
        <f t="shared" si="4"/>
        <v>Still</v>
      </c>
      <c r="H94" s="23" t="str">
        <f t="shared" si="5"/>
        <v>🜥</v>
      </c>
      <c r="I94" s="20" t="str">
        <f>Blood!$E$12</f>
        <v>the heart pounds</v>
      </c>
      <c r="J94" s="21" t="s">
        <v>424</v>
      </c>
      <c r="K94" s="50" t="s">
        <v>1079</v>
      </c>
      <c r="L94" s="51">
        <v>-0.3</v>
      </c>
      <c r="M94" s="52">
        <f>IFERROR(INDEX('Bond Rules'!$B$4:$B$7,MATCH(K94,'Bond Rules'!$A$4:$A$7,0)),"")</f>
        <v>2</v>
      </c>
      <c r="N94" s="53">
        <f>IFERROR(ROUND('Bond Rules'!$B$9+L94*INDEX('Bond Rules'!$C$4:$C$7,MATCH(K94,'Bond Rules'!$A$4:$A$7,0)),2),"")</f>
        <v>2.2000000000000002</v>
      </c>
    </row>
    <row r="95" spans="1:14" ht="24" customHeight="1" x14ac:dyDescent="0.25">
      <c r="A95" s="16" t="s">
        <v>423</v>
      </c>
      <c r="B95" s="16" t="s">
        <v>48</v>
      </c>
      <c r="C95" s="16">
        <v>4</v>
      </c>
      <c r="D95" s="16" t="s">
        <v>1144</v>
      </c>
      <c r="E95" s="22" t="s">
        <v>426</v>
      </c>
      <c r="F95" s="16" t="s">
        <v>421</v>
      </c>
      <c r="G95" s="18" t="str">
        <f t="shared" si="4"/>
        <v>Pulse</v>
      </c>
      <c r="H95" s="23" t="str">
        <f t="shared" si="5"/>
        <v>🜤</v>
      </c>
      <c r="I95" s="20" t="str">
        <f>Blood!$E$13</f>
        <v>the heart slows</v>
      </c>
      <c r="J95" s="21" t="s">
        <v>427</v>
      </c>
      <c r="K95" s="50" t="s">
        <v>1076</v>
      </c>
      <c r="L95" s="51">
        <v>0.4</v>
      </c>
      <c r="M95" s="52">
        <f>IFERROR(INDEX('Bond Rules'!$B$4:$B$7,MATCH(K95,'Bond Rules'!$A$4:$A$7,0)),"")</f>
        <v>1</v>
      </c>
      <c r="N95" s="53">
        <f>IFERROR(ROUND('Bond Rules'!$B$9+L95*INDEX('Bond Rules'!$C$4:$C$7,MATCH(K95,'Bond Rules'!$A$4:$A$7,0)),2),"")</f>
        <v>3.1</v>
      </c>
    </row>
    <row r="96" spans="1:14" ht="24" customHeight="1" x14ac:dyDescent="0.25">
      <c r="A96" s="16" t="s">
        <v>428</v>
      </c>
      <c r="B96" s="16" t="s">
        <v>48</v>
      </c>
      <c r="C96" s="16">
        <v>5</v>
      </c>
      <c r="D96" s="16" t="s">
        <v>661</v>
      </c>
      <c r="E96" s="22" t="s">
        <v>429</v>
      </c>
      <c r="F96" s="16" t="s">
        <v>430</v>
      </c>
      <c r="G96" s="18" t="str">
        <f t="shared" si="4"/>
        <v>Breathe</v>
      </c>
      <c r="H96" s="23" t="str">
        <f t="shared" si="5"/>
        <v>🜧</v>
      </c>
      <c r="I96" s="20" t="str">
        <f>Blood!$E$14</f>
        <v>cut off breath</v>
      </c>
      <c r="J96" s="21" t="s">
        <v>431</v>
      </c>
      <c r="K96" s="50" t="s">
        <v>1076</v>
      </c>
      <c r="L96" s="51">
        <v>0.9</v>
      </c>
      <c r="M96" s="52">
        <f>IFERROR(INDEX('Bond Rules'!$B$4:$B$7,MATCH(K96,'Bond Rules'!$A$4:$A$7,0)),"")</f>
        <v>1</v>
      </c>
      <c r="N96" s="53">
        <f>IFERROR(ROUND('Bond Rules'!$B$9+L96*INDEX('Bond Rules'!$C$4:$C$7,MATCH(K96,'Bond Rules'!$A$4:$A$7,0)),2),"")</f>
        <v>3.85</v>
      </c>
    </row>
    <row r="97" spans="1:14" ht="24" customHeight="1" x14ac:dyDescent="0.25">
      <c r="A97" s="16" t="s">
        <v>430</v>
      </c>
      <c r="B97" s="16" t="s">
        <v>48</v>
      </c>
      <c r="C97" s="16">
        <v>5</v>
      </c>
      <c r="D97" s="16" t="s">
        <v>665</v>
      </c>
      <c r="E97" s="22" t="s">
        <v>432</v>
      </c>
      <c r="F97" s="16" t="s">
        <v>428</v>
      </c>
      <c r="G97" s="18" t="str">
        <f t="shared" si="4"/>
        <v>Choke</v>
      </c>
      <c r="H97" s="23" t="str">
        <f t="shared" si="5"/>
        <v>🜦</v>
      </c>
      <c r="I97" s="20" t="str">
        <f>Blood!$E$15</f>
        <v>give breath; steady the body</v>
      </c>
      <c r="J97" s="21" t="s">
        <v>433</v>
      </c>
      <c r="K97" s="50" t="s">
        <v>1079</v>
      </c>
      <c r="L97" s="51">
        <v>-0.6</v>
      </c>
      <c r="M97" s="52">
        <f>IFERROR(INDEX('Bond Rules'!$B$4:$B$7,MATCH(K97,'Bond Rules'!$A$4:$A$7,0)),"")</f>
        <v>2</v>
      </c>
      <c r="N97" s="53">
        <f>IFERROR(ROUND('Bond Rules'!$B$9+L97*INDEX('Bond Rules'!$C$4:$C$7,MATCH(K97,'Bond Rules'!$A$4:$A$7,0)),2),"")</f>
        <v>1.9</v>
      </c>
    </row>
    <row r="98" spans="1:14" ht="24" customHeight="1" x14ac:dyDescent="0.25">
      <c r="A98" s="16" t="s">
        <v>434</v>
      </c>
      <c r="B98" s="16" t="s">
        <v>51</v>
      </c>
      <c r="C98" s="16">
        <v>1</v>
      </c>
      <c r="D98" s="16" t="s">
        <v>1145</v>
      </c>
      <c r="E98" s="22" t="s">
        <v>435</v>
      </c>
      <c r="F98" s="16" t="s">
        <v>436</v>
      </c>
      <c r="G98" s="18" t="str">
        <f t="shared" ref="G98:G129" si="6">IFERROR(INDEX($D:$D,MATCH($F98,$A:$A,0)),"")</f>
        <v>Wither</v>
      </c>
      <c r="H98" s="23" t="str">
        <f t="shared" ref="H98:H129" si="7">IFERROR(INDEX($E:$E,MATCH($F98,$A:$A,0)),"")</f>
        <v>🜩</v>
      </c>
      <c r="I98" s="20" t="str">
        <f>Life!$E$6</f>
        <v>restore health and close wounds</v>
      </c>
      <c r="J98" s="21" t="s">
        <v>437</v>
      </c>
      <c r="K98" s="50" t="s">
        <v>1085</v>
      </c>
      <c r="L98" s="51">
        <v>-0.3</v>
      </c>
      <c r="M98" s="52">
        <f>IFERROR(INDEX('Bond Rules'!$B$4:$B$7,MATCH(K98,'Bond Rules'!$A$4:$A$7,0)),"")</f>
        <v>4</v>
      </c>
      <c r="N98" s="53">
        <f>IFERROR(ROUND('Bond Rules'!$B$9+L98*INDEX('Bond Rules'!$C$4:$C$7,MATCH(K98,'Bond Rules'!$A$4:$A$7,0)),2),"")</f>
        <v>2.38</v>
      </c>
    </row>
    <row r="99" spans="1:14" ht="24" customHeight="1" x14ac:dyDescent="0.25">
      <c r="A99" s="16" t="s">
        <v>436</v>
      </c>
      <c r="B99" s="16" t="s">
        <v>51</v>
      </c>
      <c r="C99" s="16">
        <v>1</v>
      </c>
      <c r="D99" s="16" t="s">
        <v>438</v>
      </c>
      <c r="E99" s="22" t="s">
        <v>439</v>
      </c>
      <c r="F99" s="16" t="s">
        <v>434</v>
      </c>
      <c r="G99" s="18" t="str">
        <f t="shared" si="6"/>
        <v>Heal</v>
      </c>
      <c r="H99" s="23" t="str">
        <f t="shared" si="7"/>
        <v>🜨</v>
      </c>
      <c r="I99" s="20" t="str">
        <f>Life!$E$7</f>
        <v>harm from within</v>
      </c>
      <c r="J99" s="21" t="s">
        <v>440</v>
      </c>
      <c r="K99" s="50" t="s">
        <v>1079</v>
      </c>
      <c r="L99" s="51">
        <v>0.6</v>
      </c>
      <c r="M99" s="52">
        <f>IFERROR(INDEX('Bond Rules'!$B$4:$B$7,MATCH(K99,'Bond Rules'!$A$4:$A$7,0)),"")</f>
        <v>2</v>
      </c>
      <c r="N99" s="53">
        <f>IFERROR(ROUND('Bond Rules'!$B$9+L99*INDEX('Bond Rules'!$C$4:$C$7,MATCH(K99,'Bond Rules'!$A$4:$A$7,0)),2),"")</f>
        <v>3.1</v>
      </c>
    </row>
    <row r="100" spans="1:14" ht="24" customHeight="1" x14ac:dyDescent="0.25">
      <c r="A100" s="16" t="s">
        <v>441</v>
      </c>
      <c r="B100" s="16" t="s">
        <v>51</v>
      </c>
      <c r="C100" s="16">
        <v>2</v>
      </c>
      <c r="D100" s="16" t="s">
        <v>1146</v>
      </c>
      <c r="E100" s="22" t="s">
        <v>442</v>
      </c>
      <c r="F100" s="16" t="s">
        <v>443</v>
      </c>
      <c r="G100" s="18" t="str">
        <f t="shared" si="6"/>
        <v>Exhaust</v>
      </c>
      <c r="H100" s="23" t="str">
        <f t="shared" si="7"/>
        <v>🜫</v>
      </c>
      <c r="I100" s="20" t="str">
        <f>Life!$E$8</f>
        <v>restore vigour and stamina</v>
      </c>
      <c r="J100" s="21" t="s">
        <v>444</v>
      </c>
      <c r="K100" s="50" t="s">
        <v>1082</v>
      </c>
      <c r="L100" s="51">
        <v>-0.5</v>
      </c>
      <c r="M100" s="52">
        <f>IFERROR(INDEX('Bond Rules'!$B$4:$B$7,MATCH(K100,'Bond Rules'!$A$4:$A$7,0)),"")</f>
        <v>3</v>
      </c>
      <c r="N100" s="53">
        <f>IFERROR(ROUND('Bond Rules'!$B$9+L100*INDEX('Bond Rules'!$C$4:$C$7,MATCH(K100,'Bond Rules'!$A$4:$A$7,0)),2),"")</f>
        <v>2.15</v>
      </c>
    </row>
    <row r="101" spans="1:14" ht="24" customHeight="1" x14ac:dyDescent="0.25">
      <c r="A101" s="16" t="s">
        <v>443</v>
      </c>
      <c r="B101" s="16" t="s">
        <v>51</v>
      </c>
      <c r="C101" s="16">
        <v>2</v>
      </c>
      <c r="D101" s="16" t="s">
        <v>451</v>
      </c>
      <c r="E101" s="22" t="s">
        <v>445</v>
      </c>
      <c r="F101" s="16" t="s">
        <v>441</v>
      </c>
      <c r="G101" s="18" t="str">
        <f t="shared" si="6"/>
        <v>Renew</v>
      </c>
      <c r="H101" s="23" t="str">
        <f t="shared" si="7"/>
        <v>🜪</v>
      </c>
      <c r="I101" s="20" t="str">
        <f>Life!$E$9</f>
        <v>drain stamina; fatigue</v>
      </c>
      <c r="J101" s="21" t="s">
        <v>446</v>
      </c>
      <c r="K101" s="50" t="s">
        <v>1079</v>
      </c>
      <c r="L101" s="51">
        <v>0.6</v>
      </c>
      <c r="M101" s="52">
        <f>IFERROR(INDEX('Bond Rules'!$B$4:$B$7,MATCH(K101,'Bond Rules'!$A$4:$A$7,0)),"")</f>
        <v>2</v>
      </c>
      <c r="N101" s="53">
        <f>IFERROR(ROUND('Bond Rules'!$B$9+L101*INDEX('Bond Rules'!$C$4:$C$7,MATCH(K101,'Bond Rules'!$A$4:$A$7,0)),2),"")</f>
        <v>3.1</v>
      </c>
    </row>
    <row r="102" spans="1:14" ht="24" customHeight="1" x14ac:dyDescent="0.25">
      <c r="A102" s="16" t="s">
        <v>447</v>
      </c>
      <c r="B102" s="16" t="s">
        <v>51</v>
      </c>
      <c r="C102" s="16">
        <v>3</v>
      </c>
      <c r="D102" s="16" t="s">
        <v>1147</v>
      </c>
      <c r="E102" s="22" t="s">
        <v>448</v>
      </c>
      <c r="F102" s="16" t="s">
        <v>449</v>
      </c>
      <c r="G102" s="18" t="str">
        <f t="shared" si="6"/>
        <v>Weaken</v>
      </c>
      <c r="H102" s="23" t="str">
        <f t="shared" si="7"/>
        <v>🜭</v>
      </c>
      <c r="I102" s="20" t="str">
        <f>Life!$E$10</f>
        <v>grow muscle and body</v>
      </c>
      <c r="J102" s="21" t="s">
        <v>450</v>
      </c>
      <c r="K102" s="50" t="s">
        <v>1079</v>
      </c>
      <c r="L102" s="51">
        <v>-0.4</v>
      </c>
      <c r="M102" s="52">
        <f>IFERROR(INDEX('Bond Rules'!$B$4:$B$7,MATCH(K102,'Bond Rules'!$A$4:$A$7,0)),"")</f>
        <v>2</v>
      </c>
      <c r="N102" s="53">
        <f>IFERROR(ROUND('Bond Rules'!$B$9+L102*INDEX('Bond Rules'!$C$4:$C$7,MATCH(K102,'Bond Rules'!$A$4:$A$7,0)),2),"")</f>
        <v>2.1</v>
      </c>
    </row>
    <row r="103" spans="1:14" ht="24" customHeight="1" x14ac:dyDescent="0.25">
      <c r="A103" s="16" t="s">
        <v>449</v>
      </c>
      <c r="B103" s="16" t="s">
        <v>51</v>
      </c>
      <c r="C103" s="16">
        <v>3</v>
      </c>
      <c r="D103" s="16" t="s">
        <v>1148</v>
      </c>
      <c r="E103" s="22" t="s">
        <v>452</v>
      </c>
      <c r="F103" s="16" t="s">
        <v>447</v>
      </c>
      <c r="G103" s="18" t="str">
        <f t="shared" si="6"/>
        <v>Strengthen</v>
      </c>
      <c r="H103" s="23" t="str">
        <f t="shared" si="7"/>
        <v>🜬</v>
      </c>
      <c r="I103" s="20" t="str">
        <f>Life!$E$11</f>
        <v>waste the body away</v>
      </c>
      <c r="J103" s="21" t="s">
        <v>453</v>
      </c>
      <c r="K103" s="50" t="s">
        <v>1079</v>
      </c>
      <c r="L103" s="51">
        <v>0.5</v>
      </c>
      <c r="M103" s="52">
        <f>IFERROR(INDEX('Bond Rules'!$B$4:$B$7,MATCH(K103,'Bond Rules'!$A$4:$A$7,0)),"")</f>
        <v>2</v>
      </c>
      <c r="N103" s="53">
        <f>IFERROR(ROUND('Bond Rules'!$B$9+L103*INDEX('Bond Rules'!$C$4:$C$7,MATCH(K103,'Bond Rules'!$A$4:$A$7,0)),2),"")</f>
        <v>3</v>
      </c>
    </row>
    <row r="104" spans="1:14" ht="24" customHeight="1" x14ac:dyDescent="0.25">
      <c r="A104" s="16" t="s">
        <v>454</v>
      </c>
      <c r="B104" s="16" t="s">
        <v>51</v>
      </c>
      <c r="C104" s="16">
        <v>4</v>
      </c>
      <c r="D104" s="16" t="s">
        <v>1149</v>
      </c>
      <c r="E104" s="22" t="s">
        <v>456</v>
      </c>
      <c r="F104" s="16" t="s">
        <v>457</v>
      </c>
      <c r="G104" s="18" t="str">
        <f t="shared" si="6"/>
        <v>Sicken</v>
      </c>
      <c r="H104" s="23" t="str">
        <f t="shared" si="7"/>
        <v>🜯</v>
      </c>
      <c r="I104" s="20" t="str">
        <f>Life!$E$12</f>
        <v>end a sickness or a poison</v>
      </c>
      <c r="J104" s="21" t="s">
        <v>458</v>
      </c>
      <c r="K104" s="50" t="s">
        <v>1076</v>
      </c>
      <c r="L104" s="51">
        <v>0.5</v>
      </c>
      <c r="M104" s="52">
        <f>IFERROR(INDEX('Bond Rules'!$B$4:$B$7,MATCH(K104,'Bond Rules'!$A$4:$A$7,0)),"")</f>
        <v>1</v>
      </c>
      <c r="N104" s="53">
        <f>IFERROR(ROUND('Bond Rules'!$B$9+L104*INDEX('Bond Rules'!$C$4:$C$7,MATCH(K104,'Bond Rules'!$A$4:$A$7,0)),2),"")</f>
        <v>3.25</v>
      </c>
    </row>
    <row r="105" spans="1:14" ht="24" customHeight="1" x14ac:dyDescent="0.25">
      <c r="A105" s="16" t="s">
        <v>457</v>
      </c>
      <c r="B105" s="16" t="s">
        <v>51</v>
      </c>
      <c r="C105" s="16">
        <v>4</v>
      </c>
      <c r="D105" s="16" t="s">
        <v>1150</v>
      </c>
      <c r="E105" s="22" t="s">
        <v>460</v>
      </c>
      <c r="F105" s="16" t="s">
        <v>454</v>
      </c>
      <c r="G105" s="18" t="str">
        <f t="shared" si="6"/>
        <v>Cure</v>
      </c>
      <c r="H105" s="23" t="str">
        <f t="shared" si="7"/>
        <v>🜮</v>
      </c>
      <c r="I105" s="20" t="str">
        <f>Life!$E$13</f>
        <v>make ill</v>
      </c>
      <c r="J105" s="21" t="s">
        <v>461</v>
      </c>
      <c r="K105" s="50" t="s">
        <v>1079</v>
      </c>
      <c r="L105" s="51">
        <v>-0.5</v>
      </c>
      <c r="M105" s="52">
        <f>IFERROR(INDEX('Bond Rules'!$B$4:$B$7,MATCH(K105,'Bond Rules'!$A$4:$A$7,0)),"")</f>
        <v>2</v>
      </c>
      <c r="N105" s="53">
        <f>IFERROR(ROUND('Bond Rules'!$B$9+L105*INDEX('Bond Rules'!$C$4:$C$7,MATCH(K105,'Bond Rules'!$A$4:$A$7,0)),2),"")</f>
        <v>2</v>
      </c>
    </row>
    <row r="106" spans="1:14" ht="24" customHeight="1" x14ac:dyDescent="0.25">
      <c r="A106" s="16" t="s">
        <v>462</v>
      </c>
      <c r="B106" s="16" t="s">
        <v>51</v>
      </c>
      <c r="C106" s="16">
        <v>5</v>
      </c>
      <c r="D106" s="16" t="s">
        <v>455</v>
      </c>
      <c r="E106" s="22" t="s">
        <v>463</v>
      </c>
      <c r="F106" s="16" t="s">
        <v>464</v>
      </c>
      <c r="G106" s="18" t="str">
        <f t="shared" si="6"/>
        <v>Arrest</v>
      </c>
      <c r="H106" s="23" t="str">
        <f t="shared" si="7"/>
        <v>🜱</v>
      </c>
      <c r="I106" s="20" t="str">
        <f>Life!$E$14</f>
        <v>restore what was lost, limbs included</v>
      </c>
      <c r="J106" s="21" t="s">
        <v>465</v>
      </c>
      <c r="K106" s="50" t="s">
        <v>1085</v>
      </c>
      <c r="L106" s="51">
        <v>-0.2</v>
      </c>
      <c r="M106" s="52">
        <f>IFERROR(INDEX('Bond Rules'!$B$4:$B$7,MATCH(K106,'Bond Rules'!$A$4:$A$7,0)),"")</f>
        <v>4</v>
      </c>
      <c r="N106" s="53">
        <f>IFERROR(ROUND('Bond Rules'!$B$9+L106*INDEX('Bond Rules'!$C$4:$C$7,MATCH(K106,'Bond Rules'!$A$4:$A$7,0)),2),"")</f>
        <v>2.42</v>
      </c>
    </row>
    <row r="107" spans="1:14" ht="24" customHeight="1" x14ac:dyDescent="0.25">
      <c r="A107" s="16" t="s">
        <v>464</v>
      </c>
      <c r="B107" s="16" t="s">
        <v>51</v>
      </c>
      <c r="C107" s="16">
        <v>5</v>
      </c>
      <c r="D107" s="16" t="s">
        <v>459</v>
      </c>
      <c r="E107" s="22" t="s">
        <v>466</v>
      </c>
      <c r="F107" s="16" t="s">
        <v>462</v>
      </c>
      <c r="G107" s="18" t="str">
        <f t="shared" si="6"/>
        <v>Regrow</v>
      </c>
      <c r="H107" s="23" t="str">
        <f t="shared" si="7"/>
        <v>🜰</v>
      </c>
      <c r="I107" s="20" t="str">
        <f>Life!$E$15</f>
        <v>stop healing</v>
      </c>
      <c r="J107" s="21" t="s">
        <v>467</v>
      </c>
      <c r="K107" s="50" t="s">
        <v>1076</v>
      </c>
      <c r="L107" s="51">
        <v>0.7</v>
      </c>
      <c r="M107" s="52">
        <f>IFERROR(INDEX('Bond Rules'!$B$4:$B$7,MATCH(K107,'Bond Rules'!$A$4:$A$7,0)),"")</f>
        <v>1</v>
      </c>
      <c r="N107" s="53">
        <f>IFERROR(ROUND('Bond Rules'!$B$9+L107*INDEX('Bond Rules'!$C$4:$C$7,MATCH(K107,'Bond Rules'!$A$4:$A$7,0)),2),"")</f>
        <v>3.55</v>
      </c>
    </row>
    <row r="108" spans="1:14" ht="24" customHeight="1" x14ac:dyDescent="0.25">
      <c r="A108" s="16" t="s">
        <v>468</v>
      </c>
      <c r="B108" s="16" t="s">
        <v>54</v>
      </c>
      <c r="C108" s="16">
        <v>1</v>
      </c>
      <c r="D108" s="16" t="s">
        <v>1151</v>
      </c>
      <c r="E108" s="22" t="s">
        <v>469</v>
      </c>
      <c r="F108" s="16" t="s">
        <v>470</v>
      </c>
      <c r="G108" s="18" t="str">
        <f t="shared" si="6"/>
        <v>Spare</v>
      </c>
      <c r="H108" s="23" t="str">
        <f t="shared" si="7"/>
        <v>🜳</v>
      </c>
      <c r="I108" s="20" t="str">
        <f>Death!$E$6</f>
        <v>finish the dying</v>
      </c>
      <c r="J108" s="21" t="s">
        <v>471</v>
      </c>
      <c r="K108" s="50" t="s">
        <v>1076</v>
      </c>
      <c r="L108" s="51">
        <v>1</v>
      </c>
      <c r="M108" s="52">
        <f>IFERROR(INDEX('Bond Rules'!$B$4:$B$7,MATCH(K108,'Bond Rules'!$A$4:$A$7,0)),"")</f>
        <v>1</v>
      </c>
      <c r="N108" s="53">
        <f>IFERROR(ROUND('Bond Rules'!$B$9+L108*INDEX('Bond Rules'!$C$4:$C$7,MATCH(K108,'Bond Rules'!$A$4:$A$7,0)),2),"")</f>
        <v>4</v>
      </c>
    </row>
    <row r="109" spans="1:14" ht="24" customHeight="1" x14ac:dyDescent="0.25">
      <c r="A109" s="16" t="s">
        <v>470</v>
      </c>
      <c r="B109" s="16" t="s">
        <v>54</v>
      </c>
      <c r="C109" s="16">
        <v>1</v>
      </c>
      <c r="D109" s="16" t="s">
        <v>472</v>
      </c>
      <c r="E109" s="22" t="s">
        <v>473</v>
      </c>
      <c r="F109" s="16" t="s">
        <v>468</v>
      </c>
      <c r="G109" s="18" t="str">
        <f t="shared" si="6"/>
        <v>Kill</v>
      </c>
      <c r="H109" s="23" t="str">
        <f t="shared" si="7"/>
        <v>🜲</v>
      </c>
      <c r="I109" s="20" t="str">
        <f>Death!$E$7</f>
        <v>hold a life at the edge, for capture or mercy</v>
      </c>
      <c r="J109" s="21" t="s">
        <v>474</v>
      </c>
      <c r="K109" s="50" t="s">
        <v>1079</v>
      </c>
      <c r="L109" s="51">
        <v>-0.5</v>
      </c>
      <c r="M109" s="52">
        <f>IFERROR(INDEX('Bond Rules'!$B$4:$B$7,MATCH(K109,'Bond Rules'!$A$4:$A$7,0)),"")</f>
        <v>2</v>
      </c>
      <c r="N109" s="53">
        <f>IFERROR(ROUND('Bond Rules'!$B$9+L109*INDEX('Bond Rules'!$C$4:$C$7,MATCH(K109,'Bond Rules'!$A$4:$A$7,0)),2),"")</f>
        <v>2</v>
      </c>
    </row>
    <row r="110" spans="1:14" ht="24" customHeight="1" x14ac:dyDescent="0.25">
      <c r="A110" s="16" t="s">
        <v>475</v>
      </c>
      <c r="B110" s="16" t="s">
        <v>54</v>
      </c>
      <c r="C110" s="16">
        <v>2</v>
      </c>
      <c r="D110" s="16" t="s">
        <v>1152</v>
      </c>
      <c r="E110" s="22" t="s">
        <v>476</v>
      </c>
      <c r="F110" s="16" t="s">
        <v>477</v>
      </c>
      <c r="G110" s="18" t="str">
        <f t="shared" si="6"/>
        <v>Lay</v>
      </c>
      <c r="H110" s="23" t="str">
        <f t="shared" si="7"/>
        <v>🜵</v>
      </c>
      <c r="I110" s="20" t="str">
        <f>Death!$E$8</f>
        <v>the dead get up</v>
      </c>
      <c r="J110" s="21" t="s">
        <v>478</v>
      </c>
      <c r="K110" s="50" t="s">
        <v>1085</v>
      </c>
      <c r="L110" s="51">
        <v>-0.4</v>
      </c>
      <c r="M110" s="52">
        <f>IFERROR(INDEX('Bond Rules'!$B$4:$B$7,MATCH(K110,'Bond Rules'!$A$4:$A$7,0)),"")</f>
        <v>4</v>
      </c>
      <c r="N110" s="53">
        <f>IFERROR(ROUND('Bond Rules'!$B$9+L110*INDEX('Bond Rules'!$C$4:$C$7,MATCH(K110,'Bond Rules'!$A$4:$A$7,0)),2),"")</f>
        <v>2.34</v>
      </c>
    </row>
    <row r="111" spans="1:14" ht="24" customHeight="1" x14ac:dyDescent="0.25">
      <c r="A111" s="16" t="s">
        <v>477</v>
      </c>
      <c r="B111" s="16" t="s">
        <v>54</v>
      </c>
      <c r="C111" s="16">
        <v>2</v>
      </c>
      <c r="D111" s="16" t="s">
        <v>479</v>
      </c>
      <c r="E111" s="22" t="s">
        <v>480</v>
      </c>
      <c r="F111" s="16" t="s">
        <v>475</v>
      </c>
      <c r="G111" s="18" t="str">
        <f t="shared" si="6"/>
        <v>Animate</v>
      </c>
      <c r="H111" s="23" t="str">
        <f t="shared" si="7"/>
        <v>🜴</v>
      </c>
      <c r="I111" s="20" t="str">
        <f>Death!$E$9</f>
        <v>put them down for good</v>
      </c>
      <c r="J111" s="21" t="s">
        <v>481</v>
      </c>
      <c r="K111" s="50" t="s">
        <v>1076</v>
      </c>
      <c r="L111" s="51">
        <v>0.6</v>
      </c>
      <c r="M111" s="52">
        <f>IFERROR(INDEX('Bond Rules'!$B$4:$B$7,MATCH(K111,'Bond Rules'!$A$4:$A$7,0)),"")</f>
        <v>1</v>
      </c>
      <c r="N111" s="53">
        <f>IFERROR(ROUND('Bond Rules'!$B$9+L111*INDEX('Bond Rules'!$C$4:$C$7,MATCH(K111,'Bond Rules'!$A$4:$A$7,0)),2),"")</f>
        <v>3.4</v>
      </c>
    </row>
    <row r="112" spans="1:14" ht="24" customHeight="1" x14ac:dyDescent="0.25">
      <c r="A112" s="16" t="s">
        <v>482</v>
      </c>
      <c r="B112" s="16" t="s">
        <v>54</v>
      </c>
      <c r="C112" s="16">
        <v>3</v>
      </c>
      <c r="D112" s="16" t="s">
        <v>483</v>
      </c>
      <c r="E112" s="22" t="s">
        <v>484</v>
      </c>
      <c r="F112" s="16" t="s">
        <v>485</v>
      </c>
      <c r="G112" s="18" t="str">
        <f t="shared" si="6"/>
        <v>Preserve</v>
      </c>
      <c r="H112" s="23" t="str">
        <f t="shared" si="7"/>
        <v>🜷</v>
      </c>
      <c r="I112" s="20" t="str">
        <f>Death!$E$10</f>
        <v>decay</v>
      </c>
      <c r="J112" s="21" t="s">
        <v>486</v>
      </c>
      <c r="K112" s="50" t="s">
        <v>1082</v>
      </c>
      <c r="L112" s="51">
        <v>-0.4</v>
      </c>
      <c r="M112" s="52">
        <f>IFERROR(INDEX('Bond Rules'!$B$4:$B$7,MATCH(K112,'Bond Rules'!$A$4:$A$7,0)),"")</f>
        <v>3</v>
      </c>
      <c r="N112" s="53">
        <f>IFERROR(ROUND('Bond Rules'!$B$9+L112*INDEX('Bond Rules'!$C$4:$C$7,MATCH(K112,'Bond Rules'!$A$4:$A$7,0)),2),"")</f>
        <v>2.2200000000000002</v>
      </c>
    </row>
    <row r="113" spans="1:14" ht="24" customHeight="1" x14ac:dyDescent="0.25">
      <c r="A113" s="16" t="s">
        <v>485</v>
      </c>
      <c r="B113" s="16" t="s">
        <v>54</v>
      </c>
      <c r="C113" s="16">
        <v>3</v>
      </c>
      <c r="D113" s="16" t="s">
        <v>487</v>
      </c>
      <c r="E113" s="22" t="s">
        <v>488</v>
      </c>
      <c r="F113" s="16" t="s">
        <v>482</v>
      </c>
      <c r="G113" s="18" t="str">
        <f t="shared" si="6"/>
        <v>Rot</v>
      </c>
      <c r="H113" s="23" t="str">
        <f t="shared" si="7"/>
        <v>🜶</v>
      </c>
      <c r="I113" s="20" t="str">
        <f>Death!$E$11</f>
        <v>stop decay, the user's own body included</v>
      </c>
      <c r="J113" s="21" t="s">
        <v>489</v>
      </c>
      <c r="K113" s="50" t="s">
        <v>1085</v>
      </c>
      <c r="L113" s="51">
        <v>0.4</v>
      </c>
      <c r="M113" s="52">
        <f>IFERROR(INDEX('Bond Rules'!$B$4:$B$7,MATCH(K113,'Bond Rules'!$A$4:$A$7,0)),"")</f>
        <v>4</v>
      </c>
      <c r="N113" s="53">
        <f>IFERROR(ROUND('Bond Rules'!$B$9+L113*INDEX('Bond Rules'!$C$4:$C$7,MATCH(K113,'Bond Rules'!$A$4:$A$7,0)),2),"")</f>
        <v>2.66</v>
      </c>
    </row>
    <row r="114" spans="1:14" ht="24" customHeight="1" x14ac:dyDescent="0.25">
      <c r="A114" s="16" t="s">
        <v>490</v>
      </c>
      <c r="B114" s="16" t="s">
        <v>54</v>
      </c>
      <c r="C114" s="16">
        <v>4</v>
      </c>
      <c r="D114" s="16" t="s">
        <v>491</v>
      </c>
      <c r="E114" s="22" t="s">
        <v>492</v>
      </c>
      <c r="F114" s="16" t="s">
        <v>493</v>
      </c>
      <c r="G114" s="18" t="str">
        <f t="shared" si="6"/>
        <v>Exorcise</v>
      </c>
      <c r="H114" s="23" t="str">
        <f t="shared" si="7"/>
        <v>🜹</v>
      </c>
      <c r="I114" s="20" t="str">
        <f>Death!$E$12</f>
        <v>what dies lingers as a spirit</v>
      </c>
      <c r="J114" s="21" t="s">
        <v>494</v>
      </c>
      <c r="K114" s="50" t="s">
        <v>1079</v>
      </c>
      <c r="L114" s="51">
        <v>0.3</v>
      </c>
      <c r="M114" s="52">
        <f>IFERROR(INDEX('Bond Rules'!$B$4:$B$7,MATCH(K114,'Bond Rules'!$A$4:$A$7,0)),"")</f>
        <v>2</v>
      </c>
      <c r="N114" s="53">
        <f>IFERROR(ROUND('Bond Rules'!$B$9+L114*INDEX('Bond Rules'!$C$4:$C$7,MATCH(K114,'Bond Rules'!$A$4:$A$7,0)),2),"")</f>
        <v>2.8</v>
      </c>
    </row>
    <row r="115" spans="1:14" ht="24" customHeight="1" x14ac:dyDescent="0.25">
      <c r="A115" s="16" t="s">
        <v>493</v>
      </c>
      <c r="B115" s="16" t="s">
        <v>54</v>
      </c>
      <c r="C115" s="16">
        <v>4</v>
      </c>
      <c r="D115" s="16" t="s">
        <v>495</v>
      </c>
      <c r="E115" s="22" t="s">
        <v>496</v>
      </c>
      <c r="F115" s="16" t="s">
        <v>490</v>
      </c>
      <c r="G115" s="18" t="str">
        <f t="shared" si="6"/>
        <v>Haunt</v>
      </c>
      <c r="H115" s="23" t="str">
        <f t="shared" si="7"/>
        <v>🜸</v>
      </c>
      <c r="I115" s="20" t="str">
        <f>Death!$E$13</f>
        <v>banish spirits and constructs</v>
      </c>
      <c r="J115" s="21" t="s">
        <v>497</v>
      </c>
      <c r="K115" s="50" t="s">
        <v>1076</v>
      </c>
      <c r="L115" s="51">
        <v>-0.7</v>
      </c>
      <c r="M115" s="52">
        <f>IFERROR(INDEX('Bond Rules'!$B$4:$B$7,MATCH(K115,'Bond Rules'!$A$4:$A$7,0)),"")</f>
        <v>1</v>
      </c>
      <c r="N115" s="53">
        <f>IFERROR(ROUND('Bond Rules'!$B$9+L115*INDEX('Bond Rules'!$C$4:$C$7,MATCH(K115,'Bond Rules'!$A$4:$A$7,0)),2),"")</f>
        <v>1.45</v>
      </c>
    </row>
    <row r="116" spans="1:14" ht="24" customHeight="1" x14ac:dyDescent="0.25">
      <c r="A116" s="16" t="s">
        <v>498</v>
      </c>
      <c r="B116" s="16" t="s">
        <v>54</v>
      </c>
      <c r="C116" s="16">
        <v>5</v>
      </c>
      <c r="D116" s="16" t="s">
        <v>1153</v>
      </c>
      <c r="E116" s="22" t="s">
        <v>499</v>
      </c>
      <c r="F116" s="16" t="s">
        <v>500</v>
      </c>
      <c r="G116" s="18" t="str">
        <f t="shared" si="6"/>
        <v>Manifest</v>
      </c>
      <c r="H116" s="23" t="str">
        <f t="shared" si="7"/>
        <v>🜻</v>
      </c>
      <c r="I116" s="20" t="str">
        <f>Death!$E$14</f>
        <v>pass out of sight and reach</v>
      </c>
      <c r="J116" s="21" t="s">
        <v>501</v>
      </c>
      <c r="K116" s="50" t="s">
        <v>1079</v>
      </c>
      <c r="L116" s="51">
        <v>0.4</v>
      </c>
      <c r="M116" s="52">
        <f>IFERROR(INDEX('Bond Rules'!$B$4:$B$7,MATCH(K116,'Bond Rules'!$A$4:$A$7,0)),"")</f>
        <v>2</v>
      </c>
      <c r="N116" s="53">
        <f>IFERROR(ROUND('Bond Rules'!$B$9+L116*INDEX('Bond Rules'!$C$4:$C$7,MATCH(K116,'Bond Rules'!$A$4:$A$7,0)),2),"")</f>
        <v>2.9</v>
      </c>
    </row>
    <row r="117" spans="1:14" ht="24" customHeight="1" x14ac:dyDescent="0.25">
      <c r="A117" s="16" t="s">
        <v>500</v>
      </c>
      <c r="B117" s="16" t="s">
        <v>54</v>
      </c>
      <c r="C117" s="16">
        <v>5</v>
      </c>
      <c r="D117" s="16" t="s">
        <v>1154</v>
      </c>
      <c r="E117" s="22" t="s">
        <v>502</v>
      </c>
      <c r="F117" s="16" t="s">
        <v>498</v>
      </c>
      <c r="G117" s="18" t="str">
        <f t="shared" si="6"/>
        <v>Vanish</v>
      </c>
      <c r="H117" s="23" t="str">
        <f t="shared" si="7"/>
        <v>🜺</v>
      </c>
      <c r="I117" s="20" t="str">
        <f>Death!$E$15</f>
        <v>appear; take form</v>
      </c>
      <c r="J117" s="21" t="s">
        <v>503</v>
      </c>
      <c r="K117" s="50" t="s">
        <v>1082</v>
      </c>
      <c r="L117" s="51">
        <v>-0.5</v>
      </c>
      <c r="M117" s="52">
        <f>IFERROR(INDEX('Bond Rules'!$B$4:$B$7,MATCH(K117,'Bond Rules'!$A$4:$A$7,0)),"")</f>
        <v>3</v>
      </c>
      <c r="N117" s="53">
        <f>IFERROR(ROUND('Bond Rules'!$B$9+L117*INDEX('Bond Rules'!$C$4:$C$7,MATCH(K117,'Bond Rules'!$A$4:$A$7,0)),2),"")</f>
        <v>2.15</v>
      </c>
    </row>
    <row r="118" spans="1:14" ht="24" customHeight="1" x14ac:dyDescent="0.25">
      <c r="A118" s="16" t="s">
        <v>504</v>
      </c>
      <c r="B118" s="16" t="s">
        <v>57</v>
      </c>
      <c r="C118" s="16">
        <v>1</v>
      </c>
      <c r="D118" s="16" t="s">
        <v>1155</v>
      </c>
      <c r="E118" s="22" t="s">
        <v>506</v>
      </c>
      <c r="F118" s="16" t="s">
        <v>507</v>
      </c>
      <c r="G118" s="18" t="str">
        <f t="shared" si="6"/>
        <v>Shrink</v>
      </c>
      <c r="H118" s="23" t="str">
        <f t="shared" si="7"/>
        <v>🜽</v>
      </c>
      <c r="I118" s="20" t="str">
        <f>Nature!$E$6</f>
        <v>make a thing larger and stronger</v>
      </c>
      <c r="J118" s="21" t="s">
        <v>508</v>
      </c>
      <c r="K118" s="50" t="s">
        <v>1082</v>
      </c>
      <c r="L118" s="51">
        <v>-0.5</v>
      </c>
      <c r="M118" s="52">
        <f>IFERROR(INDEX('Bond Rules'!$B$4:$B$7,MATCH(K118,'Bond Rules'!$A$4:$A$7,0)),"")</f>
        <v>3</v>
      </c>
      <c r="N118" s="53">
        <f>IFERROR(ROUND('Bond Rules'!$B$9+L118*INDEX('Bond Rules'!$C$4:$C$7,MATCH(K118,'Bond Rules'!$A$4:$A$7,0)),2),"")</f>
        <v>2.15</v>
      </c>
    </row>
    <row r="119" spans="1:14" ht="24" customHeight="1" x14ac:dyDescent="0.25">
      <c r="A119" s="16" t="s">
        <v>507</v>
      </c>
      <c r="B119" s="16" t="s">
        <v>57</v>
      </c>
      <c r="C119" s="16">
        <v>1</v>
      </c>
      <c r="D119" s="16" t="s">
        <v>1156</v>
      </c>
      <c r="E119" s="22" t="s">
        <v>510</v>
      </c>
      <c r="F119" s="16" t="s">
        <v>504</v>
      </c>
      <c r="G119" s="18" t="str">
        <f t="shared" si="6"/>
        <v>Grow</v>
      </c>
      <c r="H119" s="23" t="str">
        <f t="shared" si="7"/>
        <v>🜼</v>
      </c>
      <c r="I119" s="20" t="str">
        <f>Nature!$E$7</f>
        <v>make it smaller</v>
      </c>
      <c r="J119" s="21" t="s">
        <v>511</v>
      </c>
      <c r="K119" s="50" t="s">
        <v>1079</v>
      </c>
      <c r="L119" s="51">
        <v>0.5</v>
      </c>
      <c r="M119" s="52">
        <f>IFERROR(INDEX('Bond Rules'!$B$4:$B$7,MATCH(K119,'Bond Rules'!$A$4:$A$7,0)),"")</f>
        <v>2</v>
      </c>
      <c r="N119" s="53">
        <f>IFERROR(ROUND('Bond Rules'!$B$9+L119*INDEX('Bond Rules'!$C$4:$C$7,MATCH(K119,'Bond Rules'!$A$4:$A$7,0)),2),"")</f>
        <v>3</v>
      </c>
    </row>
    <row r="120" spans="1:14" ht="24" customHeight="1" x14ac:dyDescent="0.25">
      <c r="A120" s="16" t="s">
        <v>512</v>
      </c>
      <c r="B120" s="16" t="s">
        <v>57</v>
      </c>
      <c r="C120" s="16">
        <v>2</v>
      </c>
      <c r="D120" s="16" t="s">
        <v>505</v>
      </c>
      <c r="E120" s="22" t="s">
        <v>514</v>
      </c>
      <c r="F120" s="16" t="s">
        <v>515</v>
      </c>
      <c r="G120" s="18" t="str">
        <f t="shared" si="6"/>
        <v>Wilt</v>
      </c>
      <c r="H120" s="23" t="str">
        <f t="shared" si="7"/>
        <v>🜿</v>
      </c>
      <c r="I120" s="20" t="str">
        <f>Nature!$E$8</f>
        <v>grow plants from the ground</v>
      </c>
      <c r="J120" s="21" t="s">
        <v>516</v>
      </c>
      <c r="K120" s="50" t="s">
        <v>1082</v>
      </c>
      <c r="L120" s="51">
        <v>-0.6</v>
      </c>
      <c r="M120" s="52">
        <f>IFERROR(INDEX('Bond Rules'!$B$4:$B$7,MATCH(K120,'Bond Rules'!$A$4:$A$7,0)),"")</f>
        <v>3</v>
      </c>
      <c r="N120" s="53">
        <f>IFERROR(ROUND('Bond Rules'!$B$9+L120*INDEX('Bond Rules'!$C$4:$C$7,MATCH(K120,'Bond Rules'!$A$4:$A$7,0)),2),"")</f>
        <v>2.08</v>
      </c>
    </row>
    <row r="121" spans="1:14" ht="24" customHeight="1" x14ac:dyDescent="0.25">
      <c r="A121" s="16" t="s">
        <v>515</v>
      </c>
      <c r="B121" s="16" t="s">
        <v>57</v>
      </c>
      <c r="C121" s="16">
        <v>2</v>
      </c>
      <c r="D121" s="16" t="s">
        <v>509</v>
      </c>
      <c r="E121" s="22" t="s">
        <v>518</v>
      </c>
      <c r="F121" s="16" t="s">
        <v>512</v>
      </c>
      <c r="G121" s="18" t="str">
        <f t="shared" si="6"/>
        <v>Sprout</v>
      </c>
      <c r="H121" s="23" t="str">
        <f t="shared" si="7"/>
        <v>🜾</v>
      </c>
      <c r="I121" s="20" t="str">
        <f>Nature!$E$9</f>
        <v>kill plants; clear ground</v>
      </c>
      <c r="J121" s="21" t="s">
        <v>519</v>
      </c>
      <c r="K121" s="50" t="s">
        <v>1076</v>
      </c>
      <c r="L121" s="51">
        <v>0.5</v>
      </c>
      <c r="M121" s="52">
        <f>IFERROR(INDEX('Bond Rules'!$B$4:$B$7,MATCH(K121,'Bond Rules'!$A$4:$A$7,0)),"")</f>
        <v>1</v>
      </c>
      <c r="N121" s="53">
        <f>IFERROR(ROUND('Bond Rules'!$B$9+L121*INDEX('Bond Rules'!$C$4:$C$7,MATCH(K121,'Bond Rules'!$A$4:$A$7,0)),2),"")</f>
        <v>3.25</v>
      </c>
    </row>
    <row r="122" spans="1:14" ht="24" customHeight="1" x14ac:dyDescent="0.25">
      <c r="A122" s="16" t="s">
        <v>520</v>
      </c>
      <c r="B122" s="16" t="s">
        <v>57</v>
      </c>
      <c r="C122" s="16">
        <v>3</v>
      </c>
      <c r="D122" s="16" t="s">
        <v>1157</v>
      </c>
      <c r="E122" s="22" t="s">
        <v>521</v>
      </c>
      <c r="F122" s="16" t="s">
        <v>522</v>
      </c>
      <c r="G122" s="18" t="str">
        <f t="shared" si="6"/>
        <v>Blight</v>
      </c>
      <c r="H122" s="23" t="str">
        <f t="shared" si="7"/>
        <v>🝁</v>
      </c>
      <c r="I122" s="20" t="str">
        <f>Nature!$E$10</f>
        <v>thrive: strengthen what grows</v>
      </c>
      <c r="J122" s="21" t="s">
        <v>523</v>
      </c>
      <c r="K122" s="50" t="s">
        <v>1082</v>
      </c>
      <c r="L122" s="51">
        <v>-0.7</v>
      </c>
      <c r="M122" s="52">
        <f>IFERROR(INDEX('Bond Rules'!$B$4:$B$7,MATCH(K122,'Bond Rules'!$A$4:$A$7,0)),"")</f>
        <v>3</v>
      </c>
      <c r="N122" s="53">
        <f>IFERROR(ROUND('Bond Rules'!$B$9+L122*INDEX('Bond Rules'!$C$4:$C$7,MATCH(K122,'Bond Rules'!$A$4:$A$7,0)),2),"")</f>
        <v>2.0099999999999998</v>
      </c>
    </row>
    <row r="123" spans="1:14" ht="24" customHeight="1" x14ac:dyDescent="0.25">
      <c r="A123" s="16" t="s">
        <v>522</v>
      </c>
      <c r="B123" s="16" t="s">
        <v>57</v>
      </c>
      <c r="C123" s="16">
        <v>3</v>
      </c>
      <c r="D123" s="16" t="s">
        <v>1158</v>
      </c>
      <c r="E123" s="22" t="s">
        <v>524</v>
      </c>
      <c r="F123" s="16" t="s">
        <v>520</v>
      </c>
      <c r="G123" s="18" t="str">
        <f t="shared" si="6"/>
        <v>Flourish</v>
      </c>
      <c r="H123" s="23" t="str">
        <f t="shared" si="7"/>
        <v>🝀</v>
      </c>
      <c r="I123" s="20" t="str">
        <f>Nature!$E$11</f>
        <v>a sickness of growing things</v>
      </c>
      <c r="J123" s="21" t="s">
        <v>525</v>
      </c>
      <c r="K123" s="50" t="s">
        <v>1079</v>
      </c>
      <c r="L123" s="51">
        <v>0.4</v>
      </c>
      <c r="M123" s="52">
        <f>IFERROR(INDEX('Bond Rules'!$B$4:$B$7,MATCH(K123,'Bond Rules'!$A$4:$A$7,0)),"")</f>
        <v>2</v>
      </c>
      <c r="N123" s="53">
        <f>IFERROR(ROUND('Bond Rules'!$B$9+L123*INDEX('Bond Rules'!$C$4:$C$7,MATCH(K123,'Bond Rules'!$A$4:$A$7,0)),2),"")</f>
        <v>2.9</v>
      </c>
    </row>
    <row r="124" spans="1:14" ht="24" customHeight="1" x14ac:dyDescent="0.25">
      <c r="A124" s="16" t="s">
        <v>526</v>
      </c>
      <c r="B124" s="16" t="s">
        <v>57</v>
      </c>
      <c r="C124" s="16">
        <v>4</v>
      </c>
      <c r="D124" s="16" t="s">
        <v>1159</v>
      </c>
      <c r="E124" s="22" t="s">
        <v>527</v>
      </c>
      <c r="F124" s="16" t="s">
        <v>528</v>
      </c>
      <c r="G124" s="18" t="str">
        <f t="shared" si="6"/>
        <v>Sow</v>
      </c>
      <c r="H124" s="23" t="str">
        <f t="shared" si="7"/>
        <v>🝃</v>
      </c>
      <c r="I124" s="20" t="str">
        <f>Nature!$E$12</f>
        <v>take what has grown, and its yield</v>
      </c>
      <c r="J124" s="21" t="s">
        <v>529</v>
      </c>
      <c r="K124" s="50" t="s">
        <v>1079</v>
      </c>
      <c r="L124" s="51">
        <v>0.7</v>
      </c>
      <c r="M124" s="52">
        <f>IFERROR(INDEX('Bond Rules'!$B$4:$B$7,MATCH(K124,'Bond Rules'!$A$4:$A$7,0)),"")</f>
        <v>2</v>
      </c>
      <c r="N124" s="53">
        <f>IFERROR(ROUND('Bond Rules'!$B$9+L124*INDEX('Bond Rules'!$C$4:$C$7,MATCH(K124,'Bond Rules'!$A$4:$A$7,0)),2),"")</f>
        <v>3.2</v>
      </c>
    </row>
    <row r="125" spans="1:14" ht="24" customHeight="1" x14ac:dyDescent="0.25">
      <c r="A125" s="16" t="s">
        <v>528</v>
      </c>
      <c r="B125" s="16" t="s">
        <v>57</v>
      </c>
      <c r="C125" s="16">
        <v>4</v>
      </c>
      <c r="D125" s="16" t="s">
        <v>1160</v>
      </c>
      <c r="E125" s="22" t="s">
        <v>530</v>
      </c>
      <c r="F125" s="16" t="s">
        <v>526</v>
      </c>
      <c r="G125" s="18" t="str">
        <f t="shared" si="6"/>
        <v>Harvest</v>
      </c>
      <c r="H125" s="23" t="str">
        <f t="shared" si="7"/>
        <v>🝂</v>
      </c>
      <c r="I125" s="20" t="str">
        <f>Nature!$E$13</f>
        <v>plant it to act later</v>
      </c>
      <c r="J125" s="21" t="s">
        <v>531</v>
      </c>
      <c r="K125" s="50" t="s">
        <v>1079</v>
      </c>
      <c r="L125" s="51">
        <v>-0.4</v>
      </c>
      <c r="M125" s="52">
        <f>IFERROR(INDEX('Bond Rules'!$B$4:$B$7,MATCH(K125,'Bond Rules'!$A$4:$A$7,0)),"")</f>
        <v>2</v>
      </c>
      <c r="N125" s="53">
        <f>IFERROR(ROUND('Bond Rules'!$B$9+L125*INDEX('Bond Rules'!$C$4:$C$7,MATCH(K125,'Bond Rules'!$A$4:$A$7,0)),2),"")</f>
        <v>2.1</v>
      </c>
    </row>
    <row r="126" spans="1:14" ht="24" customHeight="1" x14ac:dyDescent="0.25">
      <c r="A126" s="16" t="s">
        <v>532</v>
      </c>
      <c r="B126" s="16" t="s">
        <v>57</v>
      </c>
      <c r="C126" s="16">
        <v>5</v>
      </c>
      <c r="D126" s="16" t="s">
        <v>513</v>
      </c>
      <c r="E126" s="22" t="s">
        <v>533</v>
      </c>
      <c r="F126" s="16" t="s">
        <v>534</v>
      </c>
      <c r="G126" s="18" t="str">
        <f t="shared" si="6"/>
        <v>Unravel</v>
      </c>
      <c r="H126" s="23" t="str">
        <f t="shared" si="7"/>
        <v>🝅</v>
      </c>
      <c r="I126" s="20" t="str">
        <f>Nature!$E$14</f>
        <v>vines bind</v>
      </c>
      <c r="J126" s="21" t="s">
        <v>535</v>
      </c>
      <c r="K126" s="50" t="s">
        <v>1085</v>
      </c>
      <c r="L126" s="51">
        <v>0.6</v>
      </c>
      <c r="M126" s="52">
        <f>IFERROR(INDEX('Bond Rules'!$B$4:$B$7,MATCH(K126,'Bond Rules'!$A$4:$A$7,0)),"")</f>
        <v>4</v>
      </c>
      <c r="N126" s="53">
        <f>IFERROR(ROUND('Bond Rules'!$B$9+L126*INDEX('Bond Rules'!$C$4:$C$7,MATCH(K126,'Bond Rules'!$A$4:$A$7,0)),2),"")</f>
        <v>2.74</v>
      </c>
    </row>
    <row r="127" spans="1:14" ht="24" customHeight="1" x14ac:dyDescent="0.25">
      <c r="A127" s="16" t="s">
        <v>534</v>
      </c>
      <c r="B127" s="16" t="s">
        <v>57</v>
      </c>
      <c r="C127" s="16">
        <v>5</v>
      </c>
      <c r="D127" s="16" t="s">
        <v>517</v>
      </c>
      <c r="E127" s="22" t="s">
        <v>536</v>
      </c>
      <c r="F127" s="16" t="s">
        <v>532</v>
      </c>
      <c r="G127" s="18" t="str">
        <f t="shared" si="6"/>
        <v>Tangle</v>
      </c>
      <c r="H127" s="23" t="str">
        <f t="shared" si="7"/>
        <v>🝄</v>
      </c>
      <c r="I127" s="20" t="str">
        <f>Nature!$E$15</f>
        <v>free what is bound</v>
      </c>
      <c r="J127" s="21" t="s">
        <v>537</v>
      </c>
      <c r="K127" s="50" t="s">
        <v>1082</v>
      </c>
      <c r="L127" s="51">
        <v>-0.6</v>
      </c>
      <c r="M127" s="52">
        <f>IFERROR(INDEX('Bond Rules'!$B$4:$B$7,MATCH(K127,'Bond Rules'!$A$4:$A$7,0)),"")</f>
        <v>3</v>
      </c>
      <c r="N127" s="53">
        <f>IFERROR(ROUND('Bond Rules'!$B$9+L127*INDEX('Bond Rules'!$C$4:$C$7,MATCH(K127,'Bond Rules'!$A$4:$A$7,0)),2),"")</f>
        <v>2.08</v>
      </c>
    </row>
    <row r="128" spans="1:14" ht="24" customHeight="1" x14ac:dyDescent="0.25">
      <c r="A128" s="16" t="s">
        <v>538</v>
      </c>
      <c r="B128" s="16" t="s">
        <v>60</v>
      </c>
      <c r="C128" s="16">
        <v>1</v>
      </c>
      <c r="D128" s="16" t="s">
        <v>539</v>
      </c>
      <c r="E128" s="22" t="s">
        <v>540</v>
      </c>
      <c r="F128" s="16" t="s">
        <v>541</v>
      </c>
      <c r="G128" s="18" t="str">
        <f t="shared" si="6"/>
        <v>Dim</v>
      </c>
      <c r="H128" s="23" t="str">
        <f t="shared" si="7"/>
        <v>🝇</v>
      </c>
      <c r="I128" s="20" t="str">
        <f>Light!$E$6</f>
        <v>illuminate</v>
      </c>
      <c r="J128" s="21" t="s">
        <v>542</v>
      </c>
      <c r="K128" s="50" t="s">
        <v>1082</v>
      </c>
      <c r="L128" s="51">
        <v>-0.6</v>
      </c>
      <c r="M128" s="52">
        <f>IFERROR(INDEX('Bond Rules'!$B$4:$B$7,MATCH(K128,'Bond Rules'!$A$4:$A$7,0)),"")</f>
        <v>3</v>
      </c>
      <c r="N128" s="53">
        <f>IFERROR(ROUND('Bond Rules'!$B$9+L128*INDEX('Bond Rules'!$C$4:$C$7,MATCH(K128,'Bond Rules'!$A$4:$A$7,0)),2),"")</f>
        <v>2.08</v>
      </c>
    </row>
    <row r="129" spans="1:14" ht="24" customHeight="1" x14ac:dyDescent="0.25">
      <c r="A129" s="16" t="s">
        <v>541</v>
      </c>
      <c r="B129" s="16" t="s">
        <v>60</v>
      </c>
      <c r="C129" s="16">
        <v>1</v>
      </c>
      <c r="D129" s="16" t="s">
        <v>1161</v>
      </c>
      <c r="E129" s="22" t="s">
        <v>543</v>
      </c>
      <c r="F129" s="16" t="s">
        <v>538</v>
      </c>
      <c r="G129" s="18" t="str">
        <f t="shared" si="6"/>
        <v>Shine</v>
      </c>
      <c r="H129" s="23" t="str">
        <f t="shared" si="7"/>
        <v>🝆</v>
      </c>
      <c r="I129" s="20" t="str">
        <f>Light!$E$7</f>
        <v>dull the light</v>
      </c>
      <c r="J129" s="21" t="s">
        <v>544</v>
      </c>
      <c r="K129" s="50" t="s">
        <v>1079</v>
      </c>
      <c r="L129" s="51">
        <v>0.4</v>
      </c>
      <c r="M129" s="52">
        <f>IFERROR(INDEX('Bond Rules'!$B$4:$B$7,MATCH(K129,'Bond Rules'!$A$4:$A$7,0)),"")</f>
        <v>2</v>
      </c>
      <c r="N129" s="53">
        <f>IFERROR(ROUND('Bond Rules'!$B$9+L129*INDEX('Bond Rules'!$C$4:$C$7,MATCH(K129,'Bond Rules'!$A$4:$A$7,0)),2),"")</f>
        <v>2.9</v>
      </c>
    </row>
    <row r="130" spans="1:14" ht="24" customHeight="1" x14ac:dyDescent="0.25">
      <c r="A130" s="16" t="s">
        <v>545</v>
      </c>
      <c r="B130" s="16" t="s">
        <v>60</v>
      </c>
      <c r="C130" s="16">
        <v>2</v>
      </c>
      <c r="D130" s="16" t="s">
        <v>1162</v>
      </c>
      <c r="E130" s="22" t="s">
        <v>547</v>
      </c>
      <c r="F130" s="16" t="s">
        <v>548</v>
      </c>
      <c r="G130" s="18" t="str">
        <f t="shared" ref="G130:G161" si="8">IFERROR(INDEX($D:$D,MATCH($F130,$A:$A,0)),"")</f>
        <v>Glow</v>
      </c>
      <c r="H130" s="23" t="str">
        <f t="shared" ref="H130:H161" si="9">IFERROR(INDEX($E:$E,MATCH($F130,$A:$A,0)),"")</f>
        <v>🝉</v>
      </c>
      <c r="I130" s="20" t="str">
        <f>Light!$E$8</f>
        <v>a sudden burst of light</v>
      </c>
      <c r="J130" s="21" t="s">
        <v>549</v>
      </c>
      <c r="K130" s="50" t="s">
        <v>1076</v>
      </c>
      <c r="L130" s="51">
        <v>-0.8</v>
      </c>
      <c r="M130" s="52">
        <f>IFERROR(INDEX('Bond Rules'!$B$4:$B$7,MATCH(K130,'Bond Rules'!$A$4:$A$7,0)),"")</f>
        <v>1</v>
      </c>
      <c r="N130" s="53">
        <f>IFERROR(ROUND('Bond Rules'!$B$9+L130*INDEX('Bond Rules'!$C$4:$C$7,MATCH(K130,'Bond Rules'!$A$4:$A$7,0)),2),"")</f>
        <v>1.3</v>
      </c>
    </row>
    <row r="131" spans="1:14" ht="24" customHeight="1" x14ac:dyDescent="0.25">
      <c r="A131" s="16" t="s">
        <v>548</v>
      </c>
      <c r="B131" s="16" t="s">
        <v>60</v>
      </c>
      <c r="C131" s="16">
        <v>2</v>
      </c>
      <c r="D131" s="16" t="s">
        <v>550</v>
      </c>
      <c r="E131" s="22" t="s">
        <v>551</v>
      </c>
      <c r="F131" s="16" t="s">
        <v>545</v>
      </c>
      <c r="G131" s="18" t="str">
        <f t="shared" si="8"/>
        <v>Flash</v>
      </c>
      <c r="H131" s="23" t="str">
        <f t="shared" si="9"/>
        <v>🝈</v>
      </c>
      <c r="I131" s="20" t="str">
        <f>Light!$E$9</f>
        <v>a steady soft light</v>
      </c>
      <c r="J131" s="21" t="s">
        <v>552</v>
      </c>
      <c r="K131" s="50" t="s">
        <v>1085</v>
      </c>
      <c r="L131" s="51">
        <v>-0.3</v>
      </c>
      <c r="M131" s="52">
        <f>IFERROR(INDEX('Bond Rules'!$B$4:$B$7,MATCH(K131,'Bond Rules'!$A$4:$A$7,0)),"")</f>
        <v>4</v>
      </c>
      <c r="N131" s="53">
        <f>IFERROR(ROUND('Bond Rules'!$B$9+L131*INDEX('Bond Rules'!$C$4:$C$7,MATCH(K131,'Bond Rules'!$A$4:$A$7,0)),2),"")</f>
        <v>2.38</v>
      </c>
    </row>
    <row r="132" spans="1:14" ht="24" customHeight="1" x14ac:dyDescent="0.25">
      <c r="A132" s="16" t="s">
        <v>553</v>
      </c>
      <c r="B132" s="16" t="s">
        <v>60</v>
      </c>
      <c r="C132" s="16">
        <v>3</v>
      </c>
      <c r="D132" s="16" t="s">
        <v>153</v>
      </c>
      <c r="E132" s="22" t="s">
        <v>555</v>
      </c>
      <c r="F132" s="16" t="s">
        <v>556</v>
      </c>
      <c r="G132" s="18" t="str">
        <f t="shared" si="8"/>
        <v>Absorb</v>
      </c>
      <c r="H132" s="23" t="str">
        <f t="shared" si="9"/>
        <v>🝋</v>
      </c>
      <c r="I132" s="20" t="str">
        <f>Light!$E$10</f>
        <v>send light and heat outward</v>
      </c>
      <c r="J132" s="21" t="s">
        <v>557</v>
      </c>
      <c r="K132" s="50" t="s">
        <v>1082</v>
      </c>
      <c r="L132" s="51">
        <v>-0.9</v>
      </c>
      <c r="M132" s="52">
        <f>IFERROR(INDEX('Bond Rules'!$B$4:$B$7,MATCH(K132,'Bond Rules'!$A$4:$A$7,0)),"")</f>
        <v>3</v>
      </c>
      <c r="N132" s="53">
        <f>IFERROR(ROUND('Bond Rules'!$B$9+L132*INDEX('Bond Rules'!$C$4:$C$7,MATCH(K132,'Bond Rules'!$A$4:$A$7,0)),2),"")</f>
        <v>1.87</v>
      </c>
    </row>
    <row r="133" spans="1:14" ht="24" customHeight="1" x14ac:dyDescent="0.25">
      <c r="A133" s="16" t="s">
        <v>556</v>
      </c>
      <c r="B133" s="16" t="s">
        <v>60</v>
      </c>
      <c r="C133" s="16">
        <v>3</v>
      </c>
      <c r="D133" s="16" t="s">
        <v>157</v>
      </c>
      <c r="E133" s="22" t="s">
        <v>558</v>
      </c>
      <c r="F133" s="16" t="s">
        <v>553</v>
      </c>
      <c r="G133" s="18" t="str">
        <f t="shared" si="8"/>
        <v>Radiate</v>
      </c>
      <c r="H133" s="23" t="str">
        <f t="shared" si="9"/>
        <v>🝊</v>
      </c>
      <c r="I133" s="20" t="str">
        <f>Light!$E$11</f>
        <v>draw light and heat in</v>
      </c>
      <c r="J133" s="21" t="s">
        <v>559</v>
      </c>
      <c r="K133" s="50" t="s">
        <v>1079</v>
      </c>
      <c r="L133" s="51">
        <v>0.9</v>
      </c>
      <c r="M133" s="52">
        <f>IFERROR(INDEX('Bond Rules'!$B$4:$B$7,MATCH(K133,'Bond Rules'!$A$4:$A$7,0)),"")</f>
        <v>2</v>
      </c>
      <c r="N133" s="53">
        <f>IFERROR(ROUND('Bond Rules'!$B$9+L133*INDEX('Bond Rules'!$C$4:$C$7,MATCH(K133,'Bond Rules'!$A$4:$A$7,0)),2),"")</f>
        <v>3.4</v>
      </c>
    </row>
    <row r="134" spans="1:14" ht="24" customHeight="1" x14ac:dyDescent="0.25">
      <c r="A134" s="16" t="s">
        <v>560</v>
      </c>
      <c r="B134" s="16" t="s">
        <v>60</v>
      </c>
      <c r="C134" s="16">
        <v>4</v>
      </c>
      <c r="D134" s="16" t="s">
        <v>1163</v>
      </c>
      <c r="E134" s="22" t="s">
        <v>561</v>
      </c>
      <c r="F134" s="16" t="s">
        <v>562</v>
      </c>
      <c r="G134" s="18" t="str">
        <f t="shared" si="8"/>
        <v>Clarity</v>
      </c>
      <c r="H134" s="23" t="str">
        <f t="shared" si="9"/>
        <v>🝍</v>
      </c>
      <c r="I134" s="20" t="str">
        <f>Light!$E$12</f>
        <v>a blinding glare</v>
      </c>
      <c r="J134" s="21" t="s">
        <v>563</v>
      </c>
      <c r="K134" s="50" t="s">
        <v>1082</v>
      </c>
      <c r="L134" s="51">
        <v>-0.7</v>
      </c>
      <c r="M134" s="52">
        <f>IFERROR(INDEX('Bond Rules'!$B$4:$B$7,MATCH(K134,'Bond Rules'!$A$4:$A$7,0)),"")</f>
        <v>3</v>
      </c>
      <c r="N134" s="53">
        <f>IFERROR(ROUND('Bond Rules'!$B$9+L134*INDEX('Bond Rules'!$C$4:$C$7,MATCH(K134,'Bond Rules'!$A$4:$A$7,0)),2),"")</f>
        <v>2.0099999999999998</v>
      </c>
    </row>
    <row r="135" spans="1:14" ht="24" customHeight="1" x14ac:dyDescent="0.25">
      <c r="A135" s="16" t="s">
        <v>562</v>
      </c>
      <c r="B135" s="16" t="s">
        <v>60</v>
      </c>
      <c r="C135" s="16">
        <v>4</v>
      </c>
      <c r="D135" s="16" t="s">
        <v>564</v>
      </c>
      <c r="E135" s="22" t="s">
        <v>565</v>
      </c>
      <c r="F135" s="16" t="s">
        <v>560</v>
      </c>
      <c r="G135" s="18" t="str">
        <f t="shared" si="8"/>
        <v>Glare</v>
      </c>
      <c r="H135" s="23" t="str">
        <f t="shared" si="9"/>
        <v>🝌</v>
      </c>
      <c r="I135" s="20" t="str">
        <f>Light!$E$13</f>
        <v>restore and sharpen sight</v>
      </c>
      <c r="J135" s="21" t="s">
        <v>566</v>
      </c>
      <c r="K135" s="50" t="s">
        <v>1085</v>
      </c>
      <c r="L135" s="51">
        <v>0.3</v>
      </c>
      <c r="M135" s="52">
        <f>IFERROR(INDEX('Bond Rules'!$B$4:$B$7,MATCH(K135,'Bond Rules'!$A$4:$A$7,0)),"")</f>
        <v>4</v>
      </c>
      <c r="N135" s="53">
        <f>IFERROR(ROUND('Bond Rules'!$B$9+L135*INDEX('Bond Rules'!$C$4:$C$7,MATCH(K135,'Bond Rules'!$A$4:$A$7,0)),2),"")</f>
        <v>2.62</v>
      </c>
    </row>
    <row r="136" spans="1:14" ht="24" customHeight="1" x14ac:dyDescent="0.25">
      <c r="A136" s="16" t="s">
        <v>567</v>
      </c>
      <c r="B136" s="16" t="s">
        <v>60</v>
      </c>
      <c r="C136" s="16">
        <v>5</v>
      </c>
      <c r="D136" s="16" t="s">
        <v>1164</v>
      </c>
      <c r="E136" s="22" t="s">
        <v>568</v>
      </c>
      <c r="F136" s="16" t="s">
        <v>569</v>
      </c>
      <c r="G136" s="18" t="str">
        <f t="shared" si="8"/>
        <v>Bend</v>
      </c>
      <c r="H136" s="23" t="str">
        <f t="shared" si="9"/>
        <v>🝏</v>
      </c>
      <c r="I136" s="20" t="str">
        <f>Light!$E$14</f>
        <v>turn light, and shots, back</v>
      </c>
      <c r="J136" s="21" t="s">
        <v>570</v>
      </c>
      <c r="K136" s="50" t="s">
        <v>1079</v>
      </c>
      <c r="L136" s="51">
        <v>-0.2</v>
      </c>
      <c r="M136" s="52">
        <f>IFERROR(INDEX('Bond Rules'!$B$4:$B$7,MATCH(K136,'Bond Rules'!$A$4:$A$7,0)),"")</f>
        <v>2</v>
      </c>
      <c r="N136" s="53">
        <f>IFERROR(ROUND('Bond Rules'!$B$9+L136*INDEX('Bond Rules'!$C$4:$C$7,MATCH(K136,'Bond Rules'!$A$4:$A$7,0)),2),"")</f>
        <v>2.2999999999999998</v>
      </c>
    </row>
    <row r="137" spans="1:14" ht="24" customHeight="1" x14ac:dyDescent="0.25">
      <c r="A137" s="16" t="s">
        <v>569</v>
      </c>
      <c r="B137" s="16" t="s">
        <v>60</v>
      </c>
      <c r="C137" s="16">
        <v>5</v>
      </c>
      <c r="D137" s="16" t="s">
        <v>1165</v>
      </c>
      <c r="E137" s="22" t="s">
        <v>571</v>
      </c>
      <c r="F137" s="16" t="s">
        <v>567</v>
      </c>
      <c r="G137" s="18" t="str">
        <f t="shared" si="8"/>
        <v>Reflect</v>
      </c>
      <c r="H137" s="23" t="str">
        <f t="shared" si="9"/>
        <v>🝎</v>
      </c>
      <c r="I137" s="20" t="str">
        <f>Light!$E$15</f>
        <v>bend light: false images, or nothing</v>
      </c>
      <c r="J137" s="21" t="s">
        <v>572</v>
      </c>
      <c r="K137" s="50" t="s">
        <v>1079</v>
      </c>
      <c r="L137" s="51">
        <v>0.3</v>
      </c>
      <c r="M137" s="52">
        <f>IFERROR(INDEX('Bond Rules'!$B$4:$B$7,MATCH(K137,'Bond Rules'!$A$4:$A$7,0)),"")</f>
        <v>2</v>
      </c>
      <c r="N137" s="53">
        <f>IFERROR(ROUND('Bond Rules'!$B$9+L137*INDEX('Bond Rules'!$C$4:$C$7,MATCH(K137,'Bond Rules'!$A$4:$A$7,0)),2),"")</f>
        <v>2.8</v>
      </c>
    </row>
    <row r="138" spans="1:14" ht="24" customHeight="1" x14ac:dyDescent="0.25">
      <c r="A138" s="16" t="s">
        <v>573</v>
      </c>
      <c r="B138" s="16" t="s">
        <v>63</v>
      </c>
      <c r="C138" s="16">
        <v>1</v>
      </c>
      <c r="D138" s="16" t="s">
        <v>574</v>
      </c>
      <c r="E138" s="22" t="s">
        <v>575</v>
      </c>
      <c r="F138" s="16" t="s">
        <v>576</v>
      </c>
      <c r="G138" s="18" t="str">
        <f t="shared" si="8"/>
        <v>Wake</v>
      </c>
      <c r="H138" s="23" t="str">
        <f t="shared" si="9"/>
        <v>🝑</v>
      </c>
      <c r="I138" s="20" t="str">
        <f>Dream!$E$6</f>
        <v>put to sleep</v>
      </c>
      <c r="J138" s="21" t="s">
        <v>577</v>
      </c>
      <c r="K138" s="50" t="s">
        <v>1076</v>
      </c>
      <c r="L138" s="51">
        <v>0.6</v>
      </c>
      <c r="M138" s="52">
        <f>IFERROR(INDEX('Bond Rules'!$B$4:$B$7,MATCH(K138,'Bond Rules'!$A$4:$A$7,0)),"")</f>
        <v>1</v>
      </c>
      <c r="N138" s="53">
        <f>IFERROR(ROUND('Bond Rules'!$B$9+L138*INDEX('Bond Rules'!$C$4:$C$7,MATCH(K138,'Bond Rules'!$A$4:$A$7,0)),2),"")</f>
        <v>3.4</v>
      </c>
    </row>
    <row r="139" spans="1:14" ht="24" customHeight="1" x14ac:dyDescent="0.25">
      <c r="A139" s="16" t="s">
        <v>576</v>
      </c>
      <c r="B139" s="16" t="s">
        <v>63</v>
      </c>
      <c r="C139" s="16">
        <v>1</v>
      </c>
      <c r="D139" s="16" t="s">
        <v>578</v>
      </c>
      <c r="E139" s="22" t="s">
        <v>579</v>
      </c>
      <c r="F139" s="16" t="s">
        <v>573</v>
      </c>
      <c r="G139" s="18" t="str">
        <f t="shared" si="8"/>
        <v>Sleep</v>
      </c>
      <c r="H139" s="23" t="str">
        <f t="shared" si="9"/>
        <v>🝐</v>
      </c>
      <c r="I139" s="20" t="str">
        <f>Dream!$E$7</f>
        <v>rouse; break a trance</v>
      </c>
      <c r="J139" s="21" t="s">
        <v>580</v>
      </c>
      <c r="K139" s="50" t="s">
        <v>1079</v>
      </c>
      <c r="L139" s="51">
        <v>-0.5</v>
      </c>
      <c r="M139" s="52">
        <f>IFERROR(INDEX('Bond Rules'!$B$4:$B$7,MATCH(K139,'Bond Rules'!$A$4:$A$7,0)),"")</f>
        <v>2</v>
      </c>
      <c r="N139" s="53">
        <f>IFERROR(ROUND('Bond Rules'!$B$9+L139*INDEX('Bond Rules'!$C$4:$C$7,MATCH(K139,'Bond Rules'!$A$4:$A$7,0)),2),"")</f>
        <v>2</v>
      </c>
    </row>
    <row r="140" spans="1:14" ht="24" customHeight="1" x14ac:dyDescent="0.25">
      <c r="A140" s="16" t="s">
        <v>581</v>
      </c>
      <c r="B140" s="16" t="s">
        <v>63</v>
      </c>
      <c r="C140" s="16">
        <v>2</v>
      </c>
      <c r="D140" s="16" t="s">
        <v>1166</v>
      </c>
      <c r="E140" s="22" t="s">
        <v>582</v>
      </c>
      <c r="F140" s="16" t="s">
        <v>583</v>
      </c>
      <c r="G140" s="18" t="str">
        <f t="shared" si="8"/>
        <v>Dispel</v>
      </c>
      <c r="H140" s="23" t="str">
        <f t="shared" si="9"/>
        <v>🝓</v>
      </c>
      <c r="I140" s="20" t="str">
        <f>Dream!$E$8</f>
        <v>an illusion</v>
      </c>
      <c r="J140" s="21" t="s">
        <v>584</v>
      </c>
      <c r="K140" s="50" t="s">
        <v>1082</v>
      </c>
      <c r="L140" s="51">
        <v>-0.5</v>
      </c>
      <c r="M140" s="52">
        <f>IFERROR(INDEX('Bond Rules'!$B$4:$B$7,MATCH(K140,'Bond Rules'!$A$4:$A$7,0)),"")</f>
        <v>3</v>
      </c>
      <c r="N140" s="53">
        <f>IFERROR(ROUND('Bond Rules'!$B$9+L140*INDEX('Bond Rules'!$C$4:$C$7,MATCH(K140,'Bond Rules'!$A$4:$A$7,0)),2),"")</f>
        <v>2.15</v>
      </c>
    </row>
    <row r="141" spans="1:14" ht="24" customHeight="1" x14ac:dyDescent="0.25">
      <c r="A141" s="16" t="s">
        <v>583</v>
      </c>
      <c r="B141" s="16" t="s">
        <v>63</v>
      </c>
      <c r="C141" s="16">
        <v>2</v>
      </c>
      <c r="D141" s="16" t="s">
        <v>585</v>
      </c>
      <c r="E141" s="22" t="s">
        <v>586</v>
      </c>
      <c r="F141" s="16" t="s">
        <v>581</v>
      </c>
      <c r="G141" s="18" t="str">
        <f t="shared" si="8"/>
        <v>Conjure</v>
      </c>
      <c r="H141" s="23" t="str">
        <f t="shared" si="9"/>
        <v>🝒</v>
      </c>
      <c r="I141" s="20" t="str">
        <f>Dream!$E$9</f>
        <v>break illusions</v>
      </c>
      <c r="J141" s="21" t="s">
        <v>587</v>
      </c>
      <c r="K141" s="50" t="s">
        <v>1076</v>
      </c>
      <c r="L141" s="51">
        <v>0.5</v>
      </c>
      <c r="M141" s="52">
        <f>IFERROR(INDEX('Bond Rules'!$B$4:$B$7,MATCH(K141,'Bond Rules'!$A$4:$A$7,0)),"")</f>
        <v>1</v>
      </c>
      <c r="N141" s="53">
        <f>IFERROR(ROUND('Bond Rules'!$B$9+L141*INDEX('Bond Rules'!$C$4:$C$7,MATCH(K141,'Bond Rules'!$A$4:$A$7,0)),2),"")</f>
        <v>3.25</v>
      </c>
    </row>
    <row r="142" spans="1:14" ht="24" customHeight="1" x14ac:dyDescent="0.25">
      <c r="A142" s="16" t="s">
        <v>588</v>
      </c>
      <c r="B142" s="16" t="s">
        <v>63</v>
      </c>
      <c r="C142" s="16">
        <v>3</v>
      </c>
      <c r="D142" s="16" t="s">
        <v>355</v>
      </c>
      <c r="E142" s="22" t="s">
        <v>589</v>
      </c>
      <c r="F142" s="16" t="s">
        <v>590</v>
      </c>
      <c r="G142" s="18" t="str">
        <f t="shared" si="8"/>
        <v>Soothe</v>
      </c>
      <c r="H142" s="23" t="str">
        <f t="shared" si="9"/>
        <v>🝕</v>
      </c>
      <c r="I142" s="20" t="str">
        <f>Dream!$E$10</f>
        <v>terror</v>
      </c>
      <c r="J142" s="21" t="s">
        <v>591</v>
      </c>
      <c r="K142" s="50" t="s">
        <v>1079</v>
      </c>
      <c r="L142" s="51">
        <v>0.5</v>
      </c>
      <c r="M142" s="52">
        <f>IFERROR(INDEX('Bond Rules'!$B$4:$B$7,MATCH(K142,'Bond Rules'!$A$4:$A$7,0)),"")</f>
        <v>2</v>
      </c>
      <c r="N142" s="53">
        <f>IFERROR(ROUND('Bond Rules'!$B$9+L142*INDEX('Bond Rules'!$C$4:$C$7,MATCH(K142,'Bond Rules'!$A$4:$A$7,0)),2),"")</f>
        <v>3</v>
      </c>
    </row>
    <row r="143" spans="1:14" ht="24" customHeight="1" x14ac:dyDescent="0.25">
      <c r="A143" s="16" t="s">
        <v>590</v>
      </c>
      <c r="B143" s="16" t="s">
        <v>63</v>
      </c>
      <c r="C143" s="16">
        <v>3</v>
      </c>
      <c r="D143" s="16" t="s">
        <v>1167</v>
      </c>
      <c r="E143" s="22" t="s">
        <v>592</v>
      </c>
      <c r="F143" s="16" t="s">
        <v>588</v>
      </c>
      <c r="G143" s="18" t="str">
        <f t="shared" si="8"/>
        <v>Dread</v>
      </c>
      <c r="H143" s="23" t="str">
        <f t="shared" si="9"/>
        <v>🝔</v>
      </c>
      <c r="I143" s="20" t="str">
        <f>Dream!$E$11</f>
        <v>calm, bliss</v>
      </c>
      <c r="J143" s="21" t="s">
        <v>593</v>
      </c>
      <c r="K143" s="50" t="s">
        <v>1079</v>
      </c>
      <c r="L143" s="51">
        <v>-0.5</v>
      </c>
      <c r="M143" s="52">
        <f>IFERROR(INDEX('Bond Rules'!$B$4:$B$7,MATCH(K143,'Bond Rules'!$A$4:$A$7,0)),"")</f>
        <v>2</v>
      </c>
      <c r="N143" s="53">
        <f>IFERROR(ROUND('Bond Rules'!$B$9+L143*INDEX('Bond Rules'!$C$4:$C$7,MATCH(K143,'Bond Rules'!$A$4:$A$7,0)),2),"")</f>
        <v>2</v>
      </c>
    </row>
    <row r="144" spans="1:14" ht="24" customHeight="1" x14ac:dyDescent="0.25">
      <c r="A144" s="16" t="s">
        <v>594</v>
      </c>
      <c r="B144" s="16" t="s">
        <v>63</v>
      </c>
      <c r="C144" s="16">
        <v>4</v>
      </c>
      <c r="D144" s="16" t="s">
        <v>1168</v>
      </c>
      <c r="E144" s="22" t="s">
        <v>595</v>
      </c>
      <c r="F144" s="16" t="s">
        <v>596</v>
      </c>
      <c r="G144" s="18" t="str">
        <f t="shared" si="8"/>
        <v>Unmask</v>
      </c>
      <c r="H144" s="23" t="str">
        <f t="shared" si="9"/>
        <v>🝗</v>
      </c>
      <c r="I144" s="20" t="str">
        <f>Dream!$E$12</f>
        <v>take another's look or voice</v>
      </c>
      <c r="J144" s="21" t="s">
        <v>597</v>
      </c>
      <c r="K144" s="50" t="s">
        <v>1079</v>
      </c>
      <c r="L144" s="51">
        <v>0.4</v>
      </c>
      <c r="M144" s="52">
        <f>IFERROR(INDEX('Bond Rules'!$B$4:$B$7,MATCH(K144,'Bond Rules'!$A$4:$A$7,0)),"")</f>
        <v>2</v>
      </c>
      <c r="N144" s="53">
        <f>IFERROR(ROUND('Bond Rules'!$B$9+L144*INDEX('Bond Rules'!$C$4:$C$7,MATCH(K144,'Bond Rules'!$A$4:$A$7,0)),2),"")</f>
        <v>2.9</v>
      </c>
    </row>
    <row r="145" spans="1:14" ht="24" customHeight="1" x14ac:dyDescent="0.25">
      <c r="A145" s="16" t="s">
        <v>596</v>
      </c>
      <c r="B145" s="16" t="s">
        <v>63</v>
      </c>
      <c r="C145" s="16">
        <v>4</v>
      </c>
      <c r="D145" s="16" t="s">
        <v>1169</v>
      </c>
      <c r="E145" s="22" t="s">
        <v>598</v>
      </c>
      <c r="F145" s="16" t="s">
        <v>594</v>
      </c>
      <c r="G145" s="18" t="str">
        <f t="shared" si="8"/>
        <v>Mimic</v>
      </c>
      <c r="H145" s="23" t="str">
        <f t="shared" si="9"/>
        <v>🝖</v>
      </c>
      <c r="I145" s="20" t="str">
        <f>Dream!$E$13</f>
        <v>reveal a disguise</v>
      </c>
      <c r="J145" s="21" t="s">
        <v>599</v>
      </c>
      <c r="K145" s="50" t="s">
        <v>1076</v>
      </c>
      <c r="L145" s="51">
        <v>-0.4</v>
      </c>
      <c r="M145" s="52">
        <f>IFERROR(INDEX('Bond Rules'!$B$4:$B$7,MATCH(K145,'Bond Rules'!$A$4:$A$7,0)),"")</f>
        <v>1</v>
      </c>
      <c r="N145" s="53">
        <f>IFERROR(ROUND('Bond Rules'!$B$9+L145*INDEX('Bond Rules'!$C$4:$C$7,MATCH(K145,'Bond Rules'!$A$4:$A$7,0)),2),"")</f>
        <v>1.9</v>
      </c>
    </row>
    <row r="146" spans="1:14" ht="24" customHeight="1" x14ac:dyDescent="0.25">
      <c r="A146" s="16" t="s">
        <v>600</v>
      </c>
      <c r="B146" s="16" t="s">
        <v>63</v>
      </c>
      <c r="C146" s="16">
        <v>5</v>
      </c>
      <c r="D146" s="16" t="s">
        <v>601</v>
      </c>
      <c r="E146" s="22" t="s">
        <v>602</v>
      </c>
      <c r="F146" s="16" t="s">
        <v>603</v>
      </c>
      <c r="G146" s="18" t="str">
        <f t="shared" si="8"/>
        <v>Shut</v>
      </c>
      <c r="H146" s="23" t="str">
        <f t="shared" si="9"/>
        <v>🝙</v>
      </c>
      <c r="I146" s="20" t="str">
        <f>Dream!$E$14</f>
        <v>plant a command</v>
      </c>
      <c r="J146" s="21" t="s">
        <v>604</v>
      </c>
      <c r="K146" s="50" t="s">
        <v>1079</v>
      </c>
      <c r="L146" s="51">
        <v>-0.6</v>
      </c>
      <c r="M146" s="52">
        <f>IFERROR(INDEX('Bond Rules'!$B$4:$B$7,MATCH(K146,'Bond Rules'!$A$4:$A$7,0)),"")</f>
        <v>2</v>
      </c>
      <c r="N146" s="53">
        <f>IFERROR(ROUND('Bond Rules'!$B$9+L146*INDEX('Bond Rules'!$C$4:$C$7,MATCH(K146,'Bond Rules'!$A$4:$A$7,0)),2),"")</f>
        <v>1.9</v>
      </c>
    </row>
    <row r="147" spans="1:14" ht="24" customHeight="1" x14ac:dyDescent="0.25">
      <c r="A147" s="16" t="s">
        <v>603</v>
      </c>
      <c r="B147" s="16" t="s">
        <v>63</v>
      </c>
      <c r="C147" s="16">
        <v>5</v>
      </c>
      <c r="D147" s="16" t="s">
        <v>605</v>
      </c>
      <c r="E147" s="22" t="s">
        <v>606</v>
      </c>
      <c r="F147" s="16" t="s">
        <v>600</v>
      </c>
      <c r="G147" s="18" t="str">
        <f t="shared" si="8"/>
        <v>Whisper</v>
      </c>
      <c r="H147" s="23" t="str">
        <f t="shared" si="9"/>
        <v>🝘</v>
      </c>
      <c r="I147" s="20" t="str">
        <f>Dream!$E$15</f>
        <v>close the mind to others</v>
      </c>
      <c r="J147" s="21" t="s">
        <v>607</v>
      </c>
      <c r="K147" s="50" t="s">
        <v>1076</v>
      </c>
      <c r="L147" s="51">
        <v>0.7</v>
      </c>
      <c r="M147" s="52">
        <f>IFERROR(INDEX('Bond Rules'!$B$4:$B$7,MATCH(K147,'Bond Rules'!$A$4:$A$7,0)),"")</f>
        <v>1</v>
      </c>
      <c r="N147" s="53">
        <f>IFERROR(ROUND('Bond Rules'!$B$9+L147*INDEX('Bond Rules'!$C$4:$C$7,MATCH(K147,'Bond Rules'!$A$4:$A$7,0)),2),"")</f>
        <v>3.55</v>
      </c>
    </row>
    <row r="148" spans="1:14" ht="24" customHeight="1" x14ac:dyDescent="0.25">
      <c r="A148" s="16" t="s">
        <v>608</v>
      </c>
      <c r="B148" s="16" t="s">
        <v>66</v>
      </c>
      <c r="C148" s="16">
        <v>1</v>
      </c>
      <c r="D148" s="16" t="s">
        <v>66</v>
      </c>
      <c r="E148" s="22" t="s">
        <v>609</v>
      </c>
      <c r="F148" s="16" t="s">
        <v>610</v>
      </c>
      <c r="G148" s="18" t="str">
        <f t="shared" si="8"/>
        <v>Purge</v>
      </c>
      <c r="H148" s="23" t="str">
        <f t="shared" si="9"/>
        <v>🝛</v>
      </c>
      <c r="I148" s="20" t="str">
        <f>Poison!$E$6</f>
        <v>dose a target</v>
      </c>
      <c r="J148" s="21" t="s">
        <v>611</v>
      </c>
      <c r="K148" s="50" t="s">
        <v>1079</v>
      </c>
      <c r="L148" s="51">
        <v>-0.6</v>
      </c>
      <c r="M148" s="52">
        <f>IFERROR(INDEX('Bond Rules'!$B$4:$B$7,MATCH(K148,'Bond Rules'!$A$4:$A$7,0)),"")</f>
        <v>2</v>
      </c>
      <c r="N148" s="53">
        <f>IFERROR(ROUND('Bond Rules'!$B$9+L148*INDEX('Bond Rules'!$C$4:$C$7,MATCH(K148,'Bond Rules'!$A$4:$A$7,0)),2),"")</f>
        <v>1.9</v>
      </c>
    </row>
    <row r="149" spans="1:14" ht="24" customHeight="1" x14ac:dyDescent="0.25">
      <c r="A149" s="16" t="s">
        <v>610</v>
      </c>
      <c r="B149" s="16" t="s">
        <v>66</v>
      </c>
      <c r="C149" s="16">
        <v>1</v>
      </c>
      <c r="D149" s="16" t="s">
        <v>612</v>
      </c>
      <c r="E149" s="22" t="s">
        <v>613</v>
      </c>
      <c r="F149" s="16" t="s">
        <v>608</v>
      </c>
      <c r="G149" s="18" t="str">
        <f t="shared" si="8"/>
        <v>Poison</v>
      </c>
      <c r="H149" s="23" t="str">
        <f t="shared" si="9"/>
        <v>🝚</v>
      </c>
      <c r="I149" s="20" t="str">
        <f>Poison!$E$7</f>
        <v>clear doses</v>
      </c>
      <c r="J149" s="21" t="s">
        <v>614</v>
      </c>
      <c r="K149" s="50" t="s">
        <v>1076</v>
      </c>
      <c r="L149" s="51">
        <v>0.6</v>
      </c>
      <c r="M149" s="52">
        <f>IFERROR(INDEX('Bond Rules'!$B$4:$B$7,MATCH(K149,'Bond Rules'!$A$4:$A$7,0)),"")</f>
        <v>1</v>
      </c>
      <c r="N149" s="53">
        <f>IFERROR(ROUND('Bond Rules'!$B$9+L149*INDEX('Bond Rules'!$C$4:$C$7,MATCH(K149,'Bond Rules'!$A$4:$A$7,0)),2),"")</f>
        <v>3.4</v>
      </c>
    </row>
    <row r="150" spans="1:14" ht="24" customHeight="1" x14ac:dyDescent="0.25">
      <c r="A150" s="16" t="s">
        <v>615</v>
      </c>
      <c r="B150" s="16" t="s">
        <v>66</v>
      </c>
      <c r="C150" s="16">
        <v>2</v>
      </c>
      <c r="D150" s="16" t="s">
        <v>1170</v>
      </c>
      <c r="E150" s="22" t="s">
        <v>617</v>
      </c>
      <c r="F150" s="16" t="s">
        <v>618</v>
      </c>
      <c r="G150" s="18" t="str">
        <f t="shared" si="8"/>
        <v>Cleanse</v>
      </c>
      <c r="H150" s="23" t="str">
        <f t="shared" si="9"/>
        <v>🝝</v>
      </c>
      <c r="I150" s="20" t="str">
        <f>Poison!$E$8</f>
        <v>foul an area or a thing</v>
      </c>
      <c r="J150" s="21" t="s">
        <v>619</v>
      </c>
      <c r="K150" s="50" t="s">
        <v>1082</v>
      </c>
      <c r="L150" s="51">
        <v>-0.7</v>
      </c>
      <c r="M150" s="52">
        <f>IFERROR(INDEX('Bond Rules'!$B$4:$B$7,MATCH(K150,'Bond Rules'!$A$4:$A$7,0)),"")</f>
        <v>3</v>
      </c>
      <c r="N150" s="53">
        <f>IFERROR(ROUND('Bond Rules'!$B$9+L150*INDEX('Bond Rules'!$C$4:$C$7,MATCH(K150,'Bond Rules'!$A$4:$A$7,0)),2),"")</f>
        <v>2.0099999999999998</v>
      </c>
    </row>
    <row r="151" spans="1:14" ht="24" customHeight="1" x14ac:dyDescent="0.25">
      <c r="A151" s="16" t="s">
        <v>618</v>
      </c>
      <c r="B151" s="16" t="s">
        <v>66</v>
      </c>
      <c r="C151" s="16">
        <v>2</v>
      </c>
      <c r="D151" s="16" t="s">
        <v>1171</v>
      </c>
      <c r="E151" s="22" t="s">
        <v>621</v>
      </c>
      <c r="F151" s="16" t="s">
        <v>615</v>
      </c>
      <c r="G151" s="18" t="str">
        <f t="shared" si="8"/>
        <v>Contaminate</v>
      </c>
      <c r="H151" s="23" t="str">
        <f t="shared" si="9"/>
        <v>🝜</v>
      </c>
      <c r="I151" s="20" t="str">
        <f>Poison!$E$9</f>
        <v>make it clean again</v>
      </c>
      <c r="J151" s="21" t="s">
        <v>622</v>
      </c>
      <c r="K151" s="50" t="s">
        <v>1082</v>
      </c>
      <c r="L151" s="51">
        <v>0.4</v>
      </c>
      <c r="M151" s="52">
        <f>IFERROR(INDEX('Bond Rules'!$B$4:$B$7,MATCH(K151,'Bond Rules'!$A$4:$A$7,0)),"")</f>
        <v>3</v>
      </c>
      <c r="N151" s="53">
        <f>IFERROR(ROUND('Bond Rules'!$B$9+L151*INDEX('Bond Rules'!$C$4:$C$7,MATCH(K151,'Bond Rules'!$A$4:$A$7,0)),2),"")</f>
        <v>2.78</v>
      </c>
    </row>
    <row r="152" spans="1:14" ht="24" customHeight="1" x14ac:dyDescent="0.25">
      <c r="A152" s="16" t="s">
        <v>623</v>
      </c>
      <c r="B152" s="16" t="s">
        <v>66</v>
      </c>
      <c r="C152" s="16">
        <v>3</v>
      </c>
      <c r="D152" s="16" t="s">
        <v>1172</v>
      </c>
      <c r="E152" s="22" t="s">
        <v>624</v>
      </c>
      <c r="F152" s="16" t="s">
        <v>625</v>
      </c>
      <c r="G152" s="18" t="str">
        <f t="shared" si="8"/>
        <v>Neutralise</v>
      </c>
      <c r="H152" s="23" t="str">
        <f t="shared" si="9"/>
        <v>🝟</v>
      </c>
      <c r="I152" s="20" t="str">
        <f>Poison!$E$10</f>
        <v>acid that eats armour and metal</v>
      </c>
      <c r="J152" s="21" t="s">
        <v>626</v>
      </c>
      <c r="K152" s="50" t="s">
        <v>1079</v>
      </c>
      <c r="L152" s="51">
        <v>0.5</v>
      </c>
      <c r="M152" s="52">
        <f>IFERROR(INDEX('Bond Rules'!$B$4:$B$7,MATCH(K152,'Bond Rules'!$A$4:$A$7,0)),"")</f>
        <v>2</v>
      </c>
      <c r="N152" s="53">
        <f>IFERROR(ROUND('Bond Rules'!$B$9+L152*INDEX('Bond Rules'!$C$4:$C$7,MATCH(K152,'Bond Rules'!$A$4:$A$7,0)),2),"")</f>
        <v>3</v>
      </c>
    </row>
    <row r="153" spans="1:14" ht="24" customHeight="1" x14ac:dyDescent="0.25">
      <c r="A153" s="16" t="s">
        <v>625</v>
      </c>
      <c r="B153" s="16" t="s">
        <v>66</v>
      </c>
      <c r="C153" s="16">
        <v>3</v>
      </c>
      <c r="D153" s="16" t="s">
        <v>1173</v>
      </c>
      <c r="E153" s="22" t="s">
        <v>627</v>
      </c>
      <c r="F153" s="16" t="s">
        <v>623</v>
      </c>
      <c r="G153" s="18" t="str">
        <f t="shared" si="8"/>
        <v>Corrode</v>
      </c>
      <c r="H153" s="23" t="str">
        <f t="shared" si="9"/>
        <v>🝞</v>
      </c>
      <c r="I153" s="20" t="str">
        <f>Poison!$E$11</f>
        <v>render a poison or acid harmless</v>
      </c>
      <c r="J153" s="21" t="s">
        <v>628</v>
      </c>
      <c r="K153" s="50" t="s">
        <v>1085</v>
      </c>
      <c r="L153" s="51">
        <v>0.3</v>
      </c>
      <c r="M153" s="52">
        <f>IFERROR(INDEX('Bond Rules'!$B$4:$B$7,MATCH(K153,'Bond Rules'!$A$4:$A$7,0)),"")</f>
        <v>4</v>
      </c>
      <c r="N153" s="53">
        <f>IFERROR(ROUND('Bond Rules'!$B$9+L153*INDEX('Bond Rules'!$C$4:$C$7,MATCH(K153,'Bond Rules'!$A$4:$A$7,0)),2),"")</f>
        <v>2.62</v>
      </c>
    </row>
    <row r="154" spans="1:14" ht="24" customHeight="1" x14ac:dyDescent="0.25">
      <c r="A154" s="16" t="s">
        <v>629</v>
      </c>
      <c r="B154" s="16" t="s">
        <v>66</v>
      </c>
      <c r="C154" s="16">
        <v>4</v>
      </c>
      <c r="D154" s="16" t="s">
        <v>637</v>
      </c>
      <c r="E154" s="22" t="s">
        <v>631</v>
      </c>
      <c r="F154" s="16" t="s">
        <v>632</v>
      </c>
      <c r="G154" s="18" t="str">
        <f t="shared" si="8"/>
        <v>Flush</v>
      </c>
      <c r="H154" s="23" t="str">
        <f t="shared" si="9"/>
        <v>🝡</v>
      </c>
      <c r="I154" s="20" t="str">
        <f>Poison!$E$12</f>
        <v>leave residue that stays</v>
      </c>
      <c r="J154" s="21" t="s">
        <v>633</v>
      </c>
      <c r="K154" s="50" t="s">
        <v>1085</v>
      </c>
      <c r="L154" s="51">
        <v>0.3</v>
      </c>
      <c r="M154" s="52">
        <f>IFERROR(INDEX('Bond Rules'!$B$4:$B$7,MATCH(K154,'Bond Rules'!$A$4:$A$7,0)),"")</f>
        <v>4</v>
      </c>
      <c r="N154" s="53">
        <f>IFERROR(ROUND('Bond Rules'!$B$9+L154*INDEX('Bond Rules'!$C$4:$C$7,MATCH(K154,'Bond Rules'!$A$4:$A$7,0)),2),"")</f>
        <v>2.62</v>
      </c>
    </row>
    <row r="155" spans="1:14" ht="24" customHeight="1" x14ac:dyDescent="0.25">
      <c r="A155" s="16" t="s">
        <v>632</v>
      </c>
      <c r="B155" s="16" t="s">
        <v>66</v>
      </c>
      <c r="C155" s="16">
        <v>4</v>
      </c>
      <c r="D155" s="16" t="s">
        <v>641</v>
      </c>
      <c r="E155" s="22" t="s">
        <v>634</v>
      </c>
      <c r="F155" s="16" t="s">
        <v>629</v>
      </c>
      <c r="G155" s="18" t="str">
        <f t="shared" si="8"/>
        <v>Linger</v>
      </c>
      <c r="H155" s="23" t="str">
        <f t="shared" si="9"/>
        <v>🝠</v>
      </c>
      <c r="I155" s="20" t="str">
        <f>Poison!$E$13</f>
        <v>clean an area out</v>
      </c>
      <c r="J155" s="21" t="s">
        <v>635</v>
      </c>
      <c r="K155" s="50" t="s">
        <v>1082</v>
      </c>
      <c r="L155" s="51">
        <v>-0.6</v>
      </c>
      <c r="M155" s="52">
        <f>IFERROR(INDEX('Bond Rules'!$B$4:$B$7,MATCH(K155,'Bond Rules'!$A$4:$A$7,0)),"")</f>
        <v>3</v>
      </c>
      <c r="N155" s="53">
        <f>IFERROR(ROUND('Bond Rules'!$B$9+L155*INDEX('Bond Rules'!$C$4:$C$7,MATCH(K155,'Bond Rules'!$A$4:$A$7,0)),2),"")</f>
        <v>2.08</v>
      </c>
    </row>
    <row r="156" spans="1:14" ht="24" customHeight="1" x14ac:dyDescent="0.25">
      <c r="A156" s="16" t="s">
        <v>636</v>
      </c>
      <c r="B156" s="16" t="s">
        <v>66</v>
      </c>
      <c r="C156" s="16">
        <v>5</v>
      </c>
      <c r="D156" s="16" t="s">
        <v>616</v>
      </c>
      <c r="E156" s="22" t="s">
        <v>638</v>
      </c>
      <c r="F156" s="16" t="s">
        <v>639</v>
      </c>
      <c r="G156" s="18" t="str">
        <f t="shared" si="8"/>
        <v>Stimulate</v>
      </c>
      <c r="H156" s="23" t="str">
        <f t="shared" si="9"/>
        <v>🝣</v>
      </c>
      <c r="I156" s="20" t="str">
        <f>Poison!$E$14</f>
        <v>weaken</v>
      </c>
      <c r="J156" s="21" t="s">
        <v>640</v>
      </c>
      <c r="K156" s="50" t="s">
        <v>1079</v>
      </c>
      <c r="L156" s="51">
        <v>0.6</v>
      </c>
      <c r="M156" s="52">
        <f>IFERROR(INDEX('Bond Rules'!$B$4:$B$7,MATCH(K156,'Bond Rules'!$A$4:$A$7,0)),"")</f>
        <v>2</v>
      </c>
      <c r="N156" s="53">
        <f>IFERROR(ROUND('Bond Rules'!$B$9+L156*INDEX('Bond Rules'!$C$4:$C$7,MATCH(K156,'Bond Rules'!$A$4:$A$7,0)),2),"")</f>
        <v>3.1</v>
      </c>
    </row>
    <row r="157" spans="1:14" ht="24" customHeight="1" x14ac:dyDescent="0.25">
      <c r="A157" s="16" t="s">
        <v>639</v>
      </c>
      <c r="B157" s="16" t="s">
        <v>66</v>
      </c>
      <c r="C157" s="16">
        <v>5</v>
      </c>
      <c r="D157" s="16" t="s">
        <v>620</v>
      </c>
      <c r="E157" s="22" t="s">
        <v>642</v>
      </c>
      <c r="F157" s="16" t="s">
        <v>636</v>
      </c>
      <c r="G157" s="18" t="str">
        <f t="shared" si="8"/>
        <v>Sap</v>
      </c>
      <c r="H157" s="23" t="str">
        <f t="shared" si="9"/>
        <v>🝢</v>
      </c>
      <c r="I157" s="20" t="str">
        <f>Poison!$E$15</f>
        <v>strengthen (poison as a drug)</v>
      </c>
      <c r="J157" s="21" t="s">
        <v>643</v>
      </c>
      <c r="K157" s="50" t="s">
        <v>1079</v>
      </c>
      <c r="L157" s="51">
        <v>-0.6</v>
      </c>
      <c r="M157" s="52">
        <f>IFERROR(INDEX('Bond Rules'!$B$4:$B$7,MATCH(K157,'Bond Rules'!$A$4:$A$7,0)),"")</f>
        <v>2</v>
      </c>
      <c r="N157" s="53">
        <f>IFERROR(ROUND('Bond Rules'!$B$9+L157*INDEX('Bond Rules'!$C$4:$C$7,MATCH(K157,'Bond Rules'!$A$4:$A$7,0)),2),"")</f>
        <v>1.9</v>
      </c>
    </row>
    <row r="158" spans="1:14" ht="24" customHeight="1" x14ac:dyDescent="0.25">
      <c r="A158" s="16" t="s">
        <v>644</v>
      </c>
      <c r="B158" s="16" t="s">
        <v>68</v>
      </c>
      <c r="C158" s="16">
        <v>1</v>
      </c>
      <c r="D158" s="16" t="s">
        <v>1174</v>
      </c>
      <c r="E158" s="22" t="s">
        <v>646</v>
      </c>
      <c r="F158" s="16" t="s">
        <v>647</v>
      </c>
      <c r="G158" s="18" t="str">
        <f t="shared" si="8"/>
        <v>Disinfect</v>
      </c>
      <c r="H158" s="23" t="str">
        <f t="shared" si="9"/>
        <v>🝥</v>
      </c>
      <c r="I158" s="20" t="str">
        <f>Disease!$E$6</f>
        <v>give a disease</v>
      </c>
      <c r="J158" s="21" t="s">
        <v>648</v>
      </c>
      <c r="K158" s="50" t="s">
        <v>1079</v>
      </c>
      <c r="L158" s="51">
        <v>-0.6</v>
      </c>
      <c r="M158" s="52">
        <f>IFERROR(INDEX('Bond Rules'!$B$4:$B$7,MATCH(K158,'Bond Rules'!$A$4:$A$7,0)),"")</f>
        <v>2</v>
      </c>
      <c r="N158" s="53">
        <f>IFERROR(ROUND('Bond Rules'!$B$9+L158*INDEX('Bond Rules'!$C$4:$C$7,MATCH(K158,'Bond Rules'!$A$4:$A$7,0)),2),"")</f>
        <v>1.9</v>
      </c>
    </row>
    <row r="159" spans="1:14" ht="24" customHeight="1" x14ac:dyDescent="0.25">
      <c r="A159" s="16" t="s">
        <v>647</v>
      </c>
      <c r="B159" s="16" t="s">
        <v>68</v>
      </c>
      <c r="C159" s="16">
        <v>1</v>
      </c>
      <c r="D159" s="16" t="s">
        <v>1175</v>
      </c>
      <c r="E159" s="22" t="s">
        <v>650</v>
      </c>
      <c r="F159" s="16" t="s">
        <v>644</v>
      </c>
      <c r="G159" s="18" t="str">
        <f t="shared" si="8"/>
        <v>Infect</v>
      </c>
      <c r="H159" s="23" t="str">
        <f t="shared" si="9"/>
        <v>🝤</v>
      </c>
      <c r="I159" s="20" t="str">
        <f>Disease!$E$7</f>
        <v>kill it</v>
      </c>
      <c r="J159" s="21" t="s">
        <v>651</v>
      </c>
      <c r="K159" s="50" t="s">
        <v>1076</v>
      </c>
      <c r="L159" s="51">
        <v>0.6</v>
      </c>
      <c r="M159" s="52">
        <f>IFERROR(INDEX('Bond Rules'!$B$4:$B$7,MATCH(K159,'Bond Rules'!$A$4:$A$7,0)),"")</f>
        <v>1</v>
      </c>
      <c r="N159" s="53">
        <f>IFERROR(ROUND('Bond Rules'!$B$9+L159*INDEX('Bond Rules'!$C$4:$C$7,MATCH(K159,'Bond Rules'!$A$4:$A$7,0)),2),"")</f>
        <v>3.4</v>
      </c>
    </row>
    <row r="160" spans="1:14" ht="24" customHeight="1" x14ac:dyDescent="0.25">
      <c r="A160" s="16" t="s">
        <v>652</v>
      </c>
      <c r="B160" s="16" t="s">
        <v>68</v>
      </c>
      <c r="C160" s="16">
        <v>2</v>
      </c>
      <c r="D160" s="16" t="s">
        <v>630</v>
      </c>
      <c r="E160" s="22" t="s">
        <v>654</v>
      </c>
      <c r="F160" s="16" t="s">
        <v>655</v>
      </c>
      <c r="G160" s="18" t="str">
        <f t="shared" si="8"/>
        <v>Contain</v>
      </c>
      <c r="H160" s="23" t="str">
        <f t="shared" si="9"/>
        <v>🝧</v>
      </c>
      <c r="I160" s="20" t="str">
        <f>Disease!$E$8</f>
        <v>it jumps body to body</v>
      </c>
      <c r="J160" s="21" t="s">
        <v>656</v>
      </c>
      <c r="K160" s="50" t="s">
        <v>1082</v>
      </c>
      <c r="L160" s="51">
        <v>-0.7</v>
      </c>
      <c r="M160" s="52">
        <f>IFERROR(INDEX('Bond Rules'!$B$4:$B$7,MATCH(K160,'Bond Rules'!$A$4:$A$7,0)),"")</f>
        <v>3</v>
      </c>
      <c r="N160" s="53">
        <f>IFERROR(ROUND('Bond Rules'!$B$9+L160*INDEX('Bond Rules'!$C$4:$C$7,MATCH(K160,'Bond Rules'!$A$4:$A$7,0)),2),"")</f>
        <v>2.0099999999999998</v>
      </c>
    </row>
    <row r="161" spans="1:14" ht="24" customHeight="1" x14ac:dyDescent="0.25">
      <c r="A161" s="16" t="s">
        <v>655</v>
      </c>
      <c r="B161" s="16" t="s">
        <v>68</v>
      </c>
      <c r="C161" s="16">
        <v>2</v>
      </c>
      <c r="D161" s="16" t="s">
        <v>1176</v>
      </c>
      <c r="E161" s="22" t="s">
        <v>658</v>
      </c>
      <c r="F161" s="16" t="s">
        <v>652</v>
      </c>
      <c r="G161" s="18" t="str">
        <f t="shared" si="8"/>
        <v>Spread</v>
      </c>
      <c r="H161" s="23" t="str">
        <f t="shared" si="9"/>
        <v>🝦</v>
      </c>
      <c r="I161" s="20" t="str">
        <f>Disease!$E$9</f>
        <v>it stays in one body</v>
      </c>
      <c r="J161" s="21" t="s">
        <v>659</v>
      </c>
      <c r="K161" s="50" t="s">
        <v>1076</v>
      </c>
      <c r="L161" s="51">
        <v>0.6</v>
      </c>
      <c r="M161" s="52">
        <f>IFERROR(INDEX('Bond Rules'!$B$4:$B$7,MATCH(K161,'Bond Rules'!$A$4:$A$7,0)),"")</f>
        <v>1</v>
      </c>
      <c r="N161" s="53">
        <f>IFERROR(ROUND('Bond Rules'!$B$9+L161*INDEX('Bond Rules'!$C$4:$C$7,MATCH(K161,'Bond Rules'!$A$4:$A$7,0)),2),"")</f>
        <v>3.4</v>
      </c>
    </row>
    <row r="162" spans="1:14" ht="24" customHeight="1" x14ac:dyDescent="0.25">
      <c r="A162" s="16" t="s">
        <v>660</v>
      </c>
      <c r="B162" s="16" t="s">
        <v>68</v>
      </c>
      <c r="C162" s="16">
        <v>3</v>
      </c>
      <c r="D162" s="16" t="s">
        <v>653</v>
      </c>
      <c r="E162" s="22" t="s">
        <v>662</v>
      </c>
      <c r="F162" s="16" t="s">
        <v>663</v>
      </c>
      <c r="G162" s="18" t="str">
        <f t="shared" ref="G162:G167" si="10">IFERROR(INDEX($D:$D,MATCH($F162,$A:$A,0)),"")</f>
        <v>Lance</v>
      </c>
      <c r="H162" s="23" t="str">
        <f t="shared" ref="H162:H167" si="11">IFERROR(INDEX($E:$E,MATCH($F162,$A:$A,0)),"")</f>
        <v>🝩</v>
      </c>
      <c r="I162" s="20" t="str">
        <f>Disease!$E$10</f>
        <v>wounds rot</v>
      </c>
      <c r="J162" s="21" t="s">
        <v>664</v>
      </c>
      <c r="K162" s="50" t="s">
        <v>1079</v>
      </c>
      <c r="L162" s="51">
        <v>0.3</v>
      </c>
      <c r="M162" s="52">
        <f>IFERROR(INDEX('Bond Rules'!$B$4:$B$7,MATCH(K162,'Bond Rules'!$A$4:$A$7,0)),"")</f>
        <v>2</v>
      </c>
      <c r="N162" s="53">
        <f>IFERROR(ROUND('Bond Rules'!$B$9+L162*INDEX('Bond Rules'!$C$4:$C$7,MATCH(K162,'Bond Rules'!$A$4:$A$7,0)),2),"")</f>
        <v>2.8</v>
      </c>
    </row>
    <row r="163" spans="1:14" ht="24" customHeight="1" x14ac:dyDescent="0.25">
      <c r="A163" s="16" t="s">
        <v>663</v>
      </c>
      <c r="B163" s="16" t="s">
        <v>68</v>
      </c>
      <c r="C163" s="16">
        <v>3</v>
      </c>
      <c r="D163" s="16" t="s">
        <v>546</v>
      </c>
      <c r="E163" s="22" t="s">
        <v>666</v>
      </c>
      <c r="F163" s="16" t="s">
        <v>660</v>
      </c>
      <c r="G163" s="18" t="str">
        <f t="shared" si="10"/>
        <v>Fester</v>
      </c>
      <c r="H163" s="23" t="str">
        <f t="shared" si="11"/>
        <v>🝨</v>
      </c>
      <c r="I163" s="20" t="str">
        <f>Disease!$E$11</f>
        <v>open and drain a festering wound</v>
      </c>
      <c r="J163" s="21" t="s">
        <v>667</v>
      </c>
      <c r="K163" s="50" t="s">
        <v>1076</v>
      </c>
      <c r="L163" s="51">
        <v>-0.6</v>
      </c>
      <c r="M163" s="52">
        <f>IFERROR(INDEX('Bond Rules'!$B$4:$B$7,MATCH(K163,'Bond Rules'!$A$4:$A$7,0)),"")</f>
        <v>1</v>
      </c>
      <c r="N163" s="53">
        <f>IFERROR(ROUND('Bond Rules'!$B$9+L163*INDEX('Bond Rules'!$C$4:$C$7,MATCH(K163,'Bond Rules'!$A$4:$A$7,0)),2),"")</f>
        <v>1.6</v>
      </c>
    </row>
    <row r="164" spans="1:14" ht="24" customHeight="1" x14ac:dyDescent="0.25">
      <c r="A164" s="16" t="s">
        <v>668</v>
      </c>
      <c r="B164" s="16" t="s">
        <v>68</v>
      </c>
      <c r="C164" s="16">
        <v>4</v>
      </c>
      <c r="D164" s="16" t="s">
        <v>645</v>
      </c>
      <c r="E164" s="22" t="s">
        <v>669</v>
      </c>
      <c r="F164" s="16" t="s">
        <v>670</v>
      </c>
      <c r="G164" s="18" t="str">
        <f t="shared" si="10"/>
        <v>Clear</v>
      </c>
      <c r="H164" s="23" t="str">
        <f t="shared" si="11"/>
        <v>🝫</v>
      </c>
      <c r="I164" s="20" t="str">
        <f>Disease!$E$12</f>
        <v>spread the cloud</v>
      </c>
      <c r="J164" s="21" t="s">
        <v>671</v>
      </c>
      <c r="K164" s="50" t="s">
        <v>1082</v>
      </c>
      <c r="L164" s="51">
        <v>-0.8</v>
      </c>
      <c r="M164" s="52">
        <f>IFERROR(INDEX('Bond Rules'!$B$4:$B$7,MATCH(K164,'Bond Rules'!$A$4:$A$7,0)),"")</f>
        <v>3</v>
      </c>
      <c r="N164" s="53">
        <f>IFERROR(ROUND('Bond Rules'!$B$9+L164*INDEX('Bond Rules'!$C$4:$C$7,MATCH(K164,'Bond Rules'!$A$4:$A$7,0)),2),"")</f>
        <v>1.94</v>
      </c>
    </row>
    <row r="165" spans="1:14" ht="24" customHeight="1" x14ac:dyDescent="0.25">
      <c r="A165" s="16" t="s">
        <v>670</v>
      </c>
      <c r="B165" s="16" t="s">
        <v>68</v>
      </c>
      <c r="C165" s="16">
        <v>4</v>
      </c>
      <c r="D165" s="16" t="s">
        <v>649</v>
      </c>
      <c r="E165" s="22" t="s">
        <v>673</v>
      </c>
      <c r="F165" s="16" t="s">
        <v>668</v>
      </c>
      <c r="G165" s="18" t="str">
        <f t="shared" si="10"/>
        <v>Billow</v>
      </c>
      <c r="H165" s="23" t="str">
        <f t="shared" si="11"/>
        <v>🝪</v>
      </c>
      <c r="I165" s="20" t="str">
        <f>Disease!$E$13</f>
        <v>disperse it</v>
      </c>
      <c r="J165" s="21" t="s">
        <v>674</v>
      </c>
      <c r="K165" s="50" t="s">
        <v>1076</v>
      </c>
      <c r="L165" s="51">
        <v>0.5</v>
      </c>
      <c r="M165" s="52">
        <f>IFERROR(INDEX('Bond Rules'!$B$4:$B$7,MATCH(K165,'Bond Rules'!$A$4:$A$7,0)),"")</f>
        <v>1</v>
      </c>
      <c r="N165" s="53">
        <f>IFERROR(ROUND('Bond Rules'!$B$9+L165*INDEX('Bond Rules'!$C$4:$C$7,MATCH(K165,'Bond Rules'!$A$4:$A$7,0)),2),"")</f>
        <v>3.25</v>
      </c>
    </row>
    <row r="166" spans="1:14" ht="24" customHeight="1" x14ac:dyDescent="0.25">
      <c r="A166" s="16" t="s">
        <v>675</v>
      </c>
      <c r="B166" s="16" t="s">
        <v>68</v>
      </c>
      <c r="C166" s="16">
        <v>5</v>
      </c>
      <c r="D166" s="16" t="s">
        <v>1177</v>
      </c>
      <c r="E166" s="22" t="s">
        <v>676</v>
      </c>
      <c r="F166" s="16" t="s">
        <v>677</v>
      </c>
      <c r="G166" s="18" t="str">
        <f t="shared" si="10"/>
        <v>Immunise</v>
      </c>
      <c r="H166" s="23" t="str">
        <f t="shared" si="11"/>
        <v>🝭</v>
      </c>
      <c r="I166" s="20" t="str">
        <f>Disease!$E$14</f>
        <v>overwhelm the body's defences</v>
      </c>
      <c r="J166" s="21" t="s">
        <v>678</v>
      </c>
      <c r="K166" s="50" t="s">
        <v>1079</v>
      </c>
      <c r="L166" s="51">
        <v>0.5</v>
      </c>
      <c r="M166" s="52">
        <f>IFERROR(INDEX('Bond Rules'!$B$4:$B$7,MATCH(K166,'Bond Rules'!$A$4:$A$7,0)),"")</f>
        <v>2</v>
      </c>
      <c r="N166" s="53">
        <f>IFERROR(ROUND('Bond Rules'!$B$9+L166*INDEX('Bond Rules'!$C$4:$C$7,MATCH(K166,'Bond Rules'!$A$4:$A$7,0)),2),"")</f>
        <v>3</v>
      </c>
    </row>
    <row r="167" spans="1:14" ht="24" customHeight="1" x14ac:dyDescent="0.25">
      <c r="A167" s="16" t="s">
        <v>677</v>
      </c>
      <c r="B167" s="16" t="s">
        <v>68</v>
      </c>
      <c r="C167" s="16">
        <v>5</v>
      </c>
      <c r="D167" s="16" t="s">
        <v>1178</v>
      </c>
      <c r="E167" s="22" t="s">
        <v>679</v>
      </c>
      <c r="F167" s="16" t="s">
        <v>675</v>
      </c>
      <c r="G167" s="18" t="str">
        <f t="shared" si="10"/>
        <v>Overrun</v>
      </c>
      <c r="H167" s="23" t="str">
        <f t="shared" si="11"/>
        <v>🝬</v>
      </c>
      <c r="I167" s="20" t="str">
        <f>Disease!$E$15</f>
        <v>build resistance</v>
      </c>
      <c r="J167" s="21" t="s">
        <v>680</v>
      </c>
      <c r="K167" s="50" t="s">
        <v>1085</v>
      </c>
      <c r="L167" s="51">
        <v>0.4</v>
      </c>
      <c r="M167" s="52">
        <f>IFERROR(INDEX('Bond Rules'!$B$4:$B$7,MATCH(K167,'Bond Rules'!$A$4:$A$7,0)),"")</f>
        <v>4</v>
      </c>
      <c r="N167" s="53">
        <f>IFERROR(ROUND('Bond Rules'!$B$9+L167*INDEX('Bond Rules'!$C$4:$C$7,MATCH(K167,'Bond Rules'!$A$4:$A$7,0)),2),"")</f>
        <v>2.66</v>
      </c>
    </row>
  </sheetData>
  <conditionalFormatting sqref="N2:N167">
    <cfRule type="colorScale" priority="1">
      <colorScale>
        <cfvo type="min"/>
        <cfvo type="percentile" val="50"/>
        <cfvo type="max"/>
        <color rgb="FF8AB4E0"/>
        <color rgb="FFFFFFFF"/>
        <color rgb="FFE69C8A"/>
      </colorScale>
    </cfRule>
  </conditionalFormatting>
  <dataValidations count="2">
    <dataValidation type="list" allowBlank="1" showInputMessage="1" showErrorMessage="1" sqref="K2:K167" xr:uid="{887C6CCD-555B-4950-A4DD-AFA8B29D07EC}">
      <formula1>"Cap,Link,Branch,Frame"</formula1>
    </dataValidation>
    <dataValidation type="decimal" allowBlank="1" showInputMessage="1" showErrorMessage="1" sqref="L2:L167" xr:uid="{6389D932-E31D-4299-9973-772D172EDE55}">
      <formula1>-1</formula1>
      <formula2>1</formula2>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7"/>
  <sheetViews>
    <sheetView workbookViewId="0">
      <pane xSplit="1" ySplit="1" topLeftCell="B2" activePane="bottomRight" state="frozen"/>
      <selection pane="topRight"/>
      <selection pane="bottomLeft"/>
      <selection pane="bottomRight"/>
    </sheetView>
  </sheetViews>
  <sheetFormatPr defaultRowHeight="15" x14ac:dyDescent="0.25"/>
  <cols>
    <col min="1" max="1" width="10" customWidth="1"/>
    <col min="2" max="2" width="14" customWidth="1"/>
    <col min="3" max="4" width="11" customWidth="1"/>
    <col min="5" max="5" width="14" customWidth="1"/>
    <col min="6" max="6" width="11" customWidth="1"/>
    <col min="7" max="7" width="60" customWidth="1"/>
    <col min="8" max="8" width="34.7109375" customWidth="1"/>
  </cols>
  <sheetData>
    <row r="1" spans="1:8" ht="30" customHeight="1" x14ac:dyDescent="0.25">
      <c r="A1" s="8" t="s">
        <v>81</v>
      </c>
      <c r="B1" s="8" t="s">
        <v>83</v>
      </c>
      <c r="C1" s="8" t="s">
        <v>84</v>
      </c>
      <c r="D1" s="8" t="s">
        <v>85</v>
      </c>
      <c r="E1" s="8" t="s">
        <v>86</v>
      </c>
      <c r="F1" s="8" t="s">
        <v>87</v>
      </c>
      <c r="G1" s="8" t="s">
        <v>681</v>
      </c>
      <c r="H1" s="35" t="s">
        <v>1280</v>
      </c>
    </row>
    <row r="2" spans="1:8" ht="24" customHeight="1" x14ac:dyDescent="0.25">
      <c r="A2" s="16" t="s">
        <v>682</v>
      </c>
      <c r="B2" s="16" t="s">
        <v>683</v>
      </c>
      <c r="C2" s="22" t="s">
        <v>684</v>
      </c>
      <c r="D2" s="16" t="s">
        <v>685</v>
      </c>
      <c r="E2" s="18" t="str">
        <f t="shared" ref="E2:E33" si="0">IFERROR(INDEX($B:$B,MATCH($D2,$A:$A,0)),"")</f>
        <v>Stillness</v>
      </c>
      <c r="F2" s="23" t="str">
        <f t="shared" ref="F2:F33" si="1">IFERROR(INDEX($C:$C,MATCH($D2,$A:$A,0)),"")</f>
        <v>⊡</v>
      </c>
      <c r="G2" s="24" t="s">
        <v>686</v>
      </c>
      <c r="H2" s="61" t="s">
        <v>1330</v>
      </c>
    </row>
    <row r="3" spans="1:8" ht="24" customHeight="1" x14ac:dyDescent="0.25">
      <c r="A3" s="16" t="s">
        <v>685</v>
      </c>
      <c r="B3" s="16" t="s">
        <v>687</v>
      </c>
      <c r="C3" s="22" t="s">
        <v>688</v>
      </c>
      <c r="D3" s="16" t="s">
        <v>682</v>
      </c>
      <c r="E3" s="18" t="str">
        <f t="shared" si="0"/>
        <v>Motion</v>
      </c>
      <c r="F3" s="23" t="str">
        <f t="shared" si="1"/>
        <v>⇢</v>
      </c>
      <c r="G3" s="24" t="s">
        <v>689</v>
      </c>
      <c r="H3" s="61" t="s">
        <v>1331</v>
      </c>
    </row>
    <row r="4" spans="1:8" ht="24" customHeight="1" x14ac:dyDescent="0.25">
      <c r="A4" s="16" t="s">
        <v>690</v>
      </c>
      <c r="B4" s="16" t="s">
        <v>691</v>
      </c>
      <c r="C4" s="22" t="s">
        <v>692</v>
      </c>
      <c r="D4" s="16" t="s">
        <v>693</v>
      </c>
      <c r="E4" s="18" t="str">
        <f t="shared" si="0"/>
        <v>Delay</v>
      </c>
      <c r="F4" s="23" t="str">
        <f t="shared" si="1"/>
        <v>«</v>
      </c>
      <c r="G4" s="24" t="s">
        <v>694</v>
      </c>
      <c r="H4" s="61" t="s">
        <v>1332</v>
      </c>
    </row>
    <row r="5" spans="1:8" ht="24" customHeight="1" x14ac:dyDescent="0.25">
      <c r="A5" s="16" t="s">
        <v>693</v>
      </c>
      <c r="B5" s="16" t="s">
        <v>695</v>
      </c>
      <c r="C5" s="22" t="s">
        <v>696</v>
      </c>
      <c r="D5" s="16" t="s">
        <v>690</v>
      </c>
      <c r="E5" s="18" t="str">
        <f t="shared" si="0"/>
        <v>Haste</v>
      </c>
      <c r="F5" s="23" t="str">
        <f t="shared" si="1"/>
        <v>»</v>
      </c>
      <c r="G5" s="24" t="s">
        <v>697</v>
      </c>
      <c r="H5" s="61" t="s">
        <v>1333</v>
      </c>
    </row>
    <row r="6" spans="1:8" ht="24" customHeight="1" x14ac:dyDescent="0.25">
      <c r="A6" s="16" t="s">
        <v>698</v>
      </c>
      <c r="B6" s="16" t="s">
        <v>699</v>
      </c>
      <c r="C6" s="22" t="s">
        <v>700</v>
      </c>
      <c r="D6" s="16" t="s">
        <v>701</v>
      </c>
      <c r="E6" s="18" t="str">
        <f t="shared" si="0"/>
        <v>Straight</v>
      </c>
      <c r="F6" s="23" t="str">
        <f t="shared" si="1"/>
        <v>⇥</v>
      </c>
      <c r="G6" s="24" t="s">
        <v>702</v>
      </c>
      <c r="H6" s="61" t="s">
        <v>1334</v>
      </c>
    </row>
    <row r="7" spans="1:8" ht="24" customHeight="1" x14ac:dyDescent="0.25">
      <c r="A7" s="16" t="s">
        <v>701</v>
      </c>
      <c r="B7" s="16" t="s">
        <v>703</v>
      </c>
      <c r="C7" s="22" t="s">
        <v>704</v>
      </c>
      <c r="D7" s="16" t="s">
        <v>698</v>
      </c>
      <c r="E7" s="18" t="str">
        <f t="shared" si="0"/>
        <v>Curve</v>
      </c>
      <c r="F7" s="23" t="str">
        <f t="shared" si="1"/>
        <v>↷</v>
      </c>
      <c r="G7" s="24" t="s">
        <v>705</v>
      </c>
      <c r="H7" s="61" t="s">
        <v>1335</v>
      </c>
    </row>
    <row r="8" spans="1:8" ht="24" customHeight="1" x14ac:dyDescent="0.25">
      <c r="A8" s="16" t="s">
        <v>706</v>
      </c>
      <c r="B8" s="16" t="s">
        <v>707</v>
      </c>
      <c r="C8" s="22" t="s">
        <v>708</v>
      </c>
      <c r="D8" s="16" t="s">
        <v>709</v>
      </c>
      <c r="E8" s="18" t="str">
        <f t="shared" si="0"/>
        <v>Fall</v>
      </c>
      <c r="F8" s="23" t="str">
        <f t="shared" si="1"/>
        <v>↓</v>
      </c>
      <c r="G8" s="24" t="s">
        <v>710</v>
      </c>
      <c r="H8" s="61" t="s">
        <v>1287</v>
      </c>
    </row>
    <row r="9" spans="1:8" ht="24" customHeight="1" x14ac:dyDescent="0.25">
      <c r="A9" s="16" t="s">
        <v>709</v>
      </c>
      <c r="B9" s="16" t="s">
        <v>711</v>
      </c>
      <c r="C9" s="22" t="s">
        <v>712</v>
      </c>
      <c r="D9" s="16" t="s">
        <v>706</v>
      </c>
      <c r="E9" s="18" t="str">
        <f t="shared" si="0"/>
        <v>Rise</v>
      </c>
      <c r="F9" s="23" t="str">
        <f t="shared" si="1"/>
        <v>↑</v>
      </c>
      <c r="G9" s="24" t="s">
        <v>713</v>
      </c>
      <c r="H9" s="61" t="s">
        <v>1306</v>
      </c>
    </row>
    <row r="10" spans="1:8" ht="24" customHeight="1" x14ac:dyDescent="0.25">
      <c r="A10" s="16" t="s">
        <v>714</v>
      </c>
      <c r="B10" s="16" t="s">
        <v>715</v>
      </c>
      <c r="C10" s="22" t="s">
        <v>716</v>
      </c>
      <c r="D10" s="16" t="s">
        <v>717</v>
      </c>
      <c r="E10" s="18" t="str">
        <f t="shared" si="0"/>
        <v>Contract</v>
      </c>
      <c r="F10" s="23" t="str">
        <f t="shared" si="1"/>
        <v>◉</v>
      </c>
      <c r="G10" s="24" t="s">
        <v>718</v>
      </c>
      <c r="H10" s="61" t="s">
        <v>1321</v>
      </c>
    </row>
    <row r="11" spans="1:8" ht="24" customHeight="1" x14ac:dyDescent="0.25">
      <c r="A11" s="16" t="s">
        <v>717</v>
      </c>
      <c r="B11" s="16" t="s">
        <v>719</v>
      </c>
      <c r="C11" s="22" t="s">
        <v>720</v>
      </c>
      <c r="D11" s="16" t="s">
        <v>714</v>
      </c>
      <c r="E11" s="18" t="str">
        <f t="shared" si="0"/>
        <v>Expand</v>
      </c>
      <c r="F11" s="23" t="str">
        <f t="shared" si="1"/>
        <v>◯</v>
      </c>
      <c r="G11" s="24" t="s">
        <v>721</v>
      </c>
      <c r="H11" s="61" t="s">
        <v>1336</v>
      </c>
    </row>
    <row r="12" spans="1:8" ht="24" customHeight="1" x14ac:dyDescent="0.25">
      <c r="A12" s="16" t="s">
        <v>722</v>
      </c>
      <c r="B12" s="16" t="s">
        <v>723</v>
      </c>
      <c r="C12" s="22" t="s">
        <v>724</v>
      </c>
      <c r="D12" s="16" t="s">
        <v>725</v>
      </c>
      <c r="E12" s="18" t="str">
        <f t="shared" si="0"/>
        <v>Far</v>
      </c>
      <c r="F12" s="23" t="str">
        <f t="shared" si="1"/>
        <v>⋯</v>
      </c>
      <c r="G12" s="24" t="s">
        <v>726</v>
      </c>
      <c r="H12" s="61" t="s">
        <v>1337</v>
      </c>
    </row>
    <row r="13" spans="1:8" ht="24" customHeight="1" x14ac:dyDescent="0.25">
      <c r="A13" s="16" t="s">
        <v>725</v>
      </c>
      <c r="B13" s="16" t="s">
        <v>727</v>
      </c>
      <c r="C13" s="22" t="s">
        <v>728</v>
      </c>
      <c r="D13" s="16" t="s">
        <v>722</v>
      </c>
      <c r="E13" s="18" t="str">
        <f t="shared" si="0"/>
        <v>Near</v>
      </c>
      <c r="F13" s="23" t="str">
        <f t="shared" si="1"/>
        <v>⊚</v>
      </c>
      <c r="G13" s="24" t="s">
        <v>729</v>
      </c>
      <c r="H13" s="61" t="s">
        <v>1338</v>
      </c>
    </row>
    <row r="14" spans="1:8" ht="24" customHeight="1" x14ac:dyDescent="0.25">
      <c r="A14" s="16" t="s">
        <v>730</v>
      </c>
      <c r="B14" s="16" t="s">
        <v>731</v>
      </c>
      <c r="C14" s="22" t="s">
        <v>732</v>
      </c>
      <c r="D14" s="16" t="s">
        <v>733</v>
      </c>
      <c r="E14" s="18" t="str">
        <f t="shared" si="0"/>
        <v>Scatter</v>
      </c>
      <c r="F14" s="23" t="str">
        <f t="shared" si="1"/>
        <v>⁘</v>
      </c>
      <c r="G14" s="24" t="s">
        <v>734</v>
      </c>
      <c r="H14" s="61" t="s">
        <v>1339</v>
      </c>
    </row>
    <row r="15" spans="1:8" ht="24" customHeight="1" x14ac:dyDescent="0.25">
      <c r="A15" s="16" t="s">
        <v>733</v>
      </c>
      <c r="B15" s="16" t="s">
        <v>735</v>
      </c>
      <c r="C15" s="22" t="s">
        <v>736</v>
      </c>
      <c r="D15" s="16" t="s">
        <v>730</v>
      </c>
      <c r="E15" s="18" t="str">
        <f t="shared" si="0"/>
        <v>Focus</v>
      </c>
      <c r="F15" s="23" t="str">
        <f t="shared" si="1"/>
        <v>⊙</v>
      </c>
      <c r="G15" s="24" t="s">
        <v>737</v>
      </c>
      <c r="H15" s="61" t="s">
        <v>1340</v>
      </c>
    </row>
    <row r="16" spans="1:8" ht="24" customHeight="1" x14ac:dyDescent="0.25">
      <c r="A16" s="16" t="s">
        <v>738</v>
      </c>
      <c r="B16" s="16" t="s">
        <v>739</v>
      </c>
      <c r="C16" s="22" t="s">
        <v>740</v>
      </c>
      <c r="D16" s="16" t="s">
        <v>741</v>
      </c>
      <c r="E16" s="18" t="str">
        <f t="shared" si="0"/>
        <v>Many</v>
      </c>
      <c r="F16" s="23" t="str">
        <f t="shared" si="1"/>
        <v>⁖</v>
      </c>
      <c r="G16" s="24" t="s">
        <v>742</v>
      </c>
      <c r="H16" s="61" t="s">
        <v>1341</v>
      </c>
    </row>
    <row r="17" spans="1:8" ht="24" customHeight="1" x14ac:dyDescent="0.25">
      <c r="A17" s="16" t="s">
        <v>741</v>
      </c>
      <c r="B17" s="16" t="s">
        <v>743</v>
      </c>
      <c r="C17" s="22" t="s">
        <v>744</v>
      </c>
      <c r="D17" s="16" t="s">
        <v>738</v>
      </c>
      <c r="E17" s="18" t="str">
        <f t="shared" si="0"/>
        <v>One</v>
      </c>
      <c r="F17" s="23" t="str">
        <f t="shared" si="1"/>
        <v>◆</v>
      </c>
      <c r="G17" s="24" t="s">
        <v>745</v>
      </c>
      <c r="H17" s="61" t="s">
        <v>1342</v>
      </c>
    </row>
    <row r="18" spans="1:8" ht="24" customHeight="1" x14ac:dyDescent="0.25">
      <c r="A18" s="16" t="s">
        <v>746</v>
      </c>
      <c r="B18" s="16" t="s">
        <v>747</v>
      </c>
      <c r="C18" s="22" t="s">
        <v>748</v>
      </c>
      <c r="D18" s="16" t="s">
        <v>749</v>
      </c>
      <c r="E18" s="18" t="str">
        <f t="shared" si="0"/>
        <v>Without</v>
      </c>
      <c r="F18" s="23" t="str">
        <f t="shared" si="1"/>
        <v>□</v>
      </c>
      <c r="G18" s="24" t="s">
        <v>750</v>
      </c>
      <c r="H18" s="61" t="s">
        <v>1294</v>
      </c>
    </row>
    <row r="19" spans="1:8" ht="24" customHeight="1" x14ac:dyDescent="0.25">
      <c r="A19" s="16" t="s">
        <v>749</v>
      </c>
      <c r="B19" s="16" t="s">
        <v>751</v>
      </c>
      <c r="C19" s="22" t="s">
        <v>752</v>
      </c>
      <c r="D19" s="16" t="s">
        <v>746</v>
      </c>
      <c r="E19" s="18" t="str">
        <f t="shared" si="0"/>
        <v>Within</v>
      </c>
      <c r="F19" s="23" t="str">
        <f t="shared" si="1"/>
        <v>▣</v>
      </c>
      <c r="G19" s="24" t="s">
        <v>753</v>
      </c>
      <c r="H19" s="61" t="s">
        <v>1343</v>
      </c>
    </row>
    <row r="20" spans="1:8" ht="24" customHeight="1" x14ac:dyDescent="0.25">
      <c r="A20" s="16" t="s">
        <v>754</v>
      </c>
      <c r="B20" s="16" t="s">
        <v>755</v>
      </c>
      <c r="C20" s="22" t="s">
        <v>756</v>
      </c>
      <c r="D20" s="16" t="s">
        <v>757</v>
      </c>
      <c r="E20" s="18" t="str">
        <f t="shared" si="0"/>
        <v>Elsewhere</v>
      </c>
      <c r="F20" s="23" t="str">
        <f t="shared" si="1"/>
        <v>⤳</v>
      </c>
      <c r="G20" s="24" t="s">
        <v>758</v>
      </c>
      <c r="H20" s="61" t="s">
        <v>1344</v>
      </c>
    </row>
    <row r="21" spans="1:8" ht="24" customHeight="1" x14ac:dyDescent="0.25">
      <c r="A21" s="16" t="s">
        <v>757</v>
      </c>
      <c r="B21" s="16" t="s">
        <v>759</v>
      </c>
      <c r="C21" s="22" t="s">
        <v>760</v>
      </c>
      <c r="D21" s="16" t="s">
        <v>754</v>
      </c>
      <c r="E21" s="18" t="str">
        <f t="shared" si="0"/>
        <v>Here</v>
      </c>
      <c r="F21" s="23" t="str">
        <f t="shared" si="1"/>
        <v>⌖</v>
      </c>
      <c r="G21" s="24" t="s">
        <v>761</v>
      </c>
      <c r="H21" s="61" t="s">
        <v>1291</v>
      </c>
    </row>
    <row r="22" spans="1:8" ht="24" customHeight="1" x14ac:dyDescent="0.25">
      <c r="A22" s="16" t="s">
        <v>762</v>
      </c>
      <c r="B22" s="16" t="s">
        <v>763</v>
      </c>
      <c r="C22" s="22" t="s">
        <v>764</v>
      </c>
      <c r="D22" s="16" t="s">
        <v>765</v>
      </c>
      <c r="E22" s="18" t="str">
        <f t="shared" si="0"/>
        <v>Fade</v>
      </c>
      <c r="F22" s="23" t="str">
        <f t="shared" si="1"/>
        <v>◌</v>
      </c>
      <c r="G22" s="24" t="s">
        <v>766</v>
      </c>
      <c r="H22" s="61" t="s">
        <v>1345</v>
      </c>
    </row>
    <row r="23" spans="1:8" ht="24" customHeight="1" x14ac:dyDescent="0.25">
      <c r="A23" s="16" t="s">
        <v>765</v>
      </c>
      <c r="B23" s="16" t="s">
        <v>767</v>
      </c>
      <c r="C23" s="22" t="s">
        <v>768</v>
      </c>
      <c r="D23" s="16" t="s">
        <v>762</v>
      </c>
      <c r="E23" s="18" t="str">
        <f t="shared" si="0"/>
        <v>Persist</v>
      </c>
      <c r="F23" s="23" t="str">
        <f t="shared" si="1"/>
        <v>∞</v>
      </c>
      <c r="G23" s="24" t="s">
        <v>769</v>
      </c>
      <c r="H23" s="61" t="s">
        <v>1346</v>
      </c>
    </row>
    <row r="24" spans="1:8" ht="24" customHeight="1" x14ac:dyDescent="0.25">
      <c r="A24" s="16" t="s">
        <v>770</v>
      </c>
      <c r="B24" s="16" t="s">
        <v>771</v>
      </c>
      <c r="C24" s="22" t="s">
        <v>772</v>
      </c>
      <c r="D24" s="16" t="s">
        <v>773</v>
      </c>
      <c r="E24" s="18" t="str">
        <f t="shared" si="0"/>
        <v>Loose</v>
      </c>
      <c r="F24" s="23" t="str">
        <f t="shared" si="1"/>
        <v>⇡</v>
      </c>
      <c r="G24" s="24" t="s">
        <v>774</v>
      </c>
      <c r="H24" s="61" t="s">
        <v>1347</v>
      </c>
    </row>
    <row r="25" spans="1:8" ht="24" customHeight="1" x14ac:dyDescent="0.25">
      <c r="A25" s="16" t="s">
        <v>773</v>
      </c>
      <c r="B25" s="16" t="s">
        <v>775</v>
      </c>
      <c r="C25" s="22" t="s">
        <v>776</v>
      </c>
      <c r="D25" s="16" t="s">
        <v>770</v>
      </c>
      <c r="E25" s="18" t="str">
        <f t="shared" si="0"/>
        <v>Hold</v>
      </c>
      <c r="F25" s="23" t="str">
        <f t="shared" si="1"/>
        <v>⧗</v>
      </c>
      <c r="G25" s="24" t="s">
        <v>777</v>
      </c>
      <c r="H25" s="61" t="s">
        <v>1348</v>
      </c>
    </row>
    <row r="26" spans="1:8" ht="24" customHeight="1" x14ac:dyDescent="0.25">
      <c r="A26" s="16" t="s">
        <v>778</v>
      </c>
      <c r="B26" s="16" t="s">
        <v>779</v>
      </c>
      <c r="C26" s="22" t="s">
        <v>780</v>
      </c>
      <c r="D26" s="16" t="s">
        <v>781</v>
      </c>
      <c r="E26" s="18" t="str">
        <f t="shared" si="0"/>
        <v>Once</v>
      </c>
      <c r="F26" s="23" t="str">
        <f t="shared" si="1"/>
        <v>⊣</v>
      </c>
      <c r="G26" s="24" t="s">
        <v>782</v>
      </c>
      <c r="H26" s="61" t="s">
        <v>1349</v>
      </c>
    </row>
    <row r="27" spans="1:8" ht="24" customHeight="1" x14ac:dyDescent="0.25">
      <c r="A27" s="16" t="s">
        <v>781</v>
      </c>
      <c r="B27" s="16" t="s">
        <v>783</v>
      </c>
      <c r="C27" s="22" t="s">
        <v>784</v>
      </c>
      <c r="D27" s="16" t="s">
        <v>778</v>
      </c>
      <c r="E27" s="18" t="str">
        <f t="shared" si="0"/>
        <v>Repeat</v>
      </c>
      <c r="F27" s="23" t="str">
        <f t="shared" si="1"/>
        <v>↻</v>
      </c>
      <c r="G27" s="24" t="s">
        <v>785</v>
      </c>
      <c r="H27" s="61" t="s">
        <v>1350</v>
      </c>
    </row>
    <row r="28" spans="1:8" ht="24" customHeight="1" x14ac:dyDescent="0.25">
      <c r="A28" s="16" t="s">
        <v>786</v>
      </c>
      <c r="B28" s="16" t="s">
        <v>787</v>
      </c>
      <c r="C28" s="22" t="s">
        <v>788</v>
      </c>
      <c r="D28" s="16" t="s">
        <v>789</v>
      </c>
      <c r="E28" s="18" t="str">
        <f t="shared" si="0"/>
        <v>After</v>
      </c>
      <c r="F28" s="23" t="str">
        <f t="shared" si="1"/>
        <v>⟳</v>
      </c>
      <c r="G28" s="24" t="s">
        <v>790</v>
      </c>
      <c r="H28" s="61" t="s">
        <v>1326</v>
      </c>
    </row>
    <row r="29" spans="1:8" ht="24" customHeight="1" x14ac:dyDescent="0.25">
      <c r="A29" s="16" t="s">
        <v>789</v>
      </c>
      <c r="B29" s="16" t="s">
        <v>791</v>
      </c>
      <c r="C29" s="22" t="s">
        <v>792</v>
      </c>
      <c r="D29" s="16" t="s">
        <v>786</v>
      </c>
      <c r="E29" s="18" t="str">
        <f t="shared" si="0"/>
        <v>Before</v>
      </c>
      <c r="F29" s="23" t="str">
        <f t="shared" si="1"/>
        <v>⟲</v>
      </c>
      <c r="G29" s="24" t="s">
        <v>793</v>
      </c>
      <c r="H29" s="61" t="s">
        <v>1351</v>
      </c>
    </row>
    <row r="30" spans="1:8" ht="24" customHeight="1" x14ac:dyDescent="0.25">
      <c r="A30" s="16" t="s">
        <v>794</v>
      </c>
      <c r="B30" s="16" t="s">
        <v>795</v>
      </c>
      <c r="C30" s="22" t="s">
        <v>796</v>
      </c>
      <c r="D30" s="16" t="s">
        <v>797</v>
      </c>
      <c r="E30" s="18" t="str">
        <f t="shared" si="0"/>
        <v>Sever</v>
      </c>
      <c r="F30" s="23" t="str">
        <f t="shared" si="1"/>
        <v>⫽</v>
      </c>
      <c r="G30" s="24" t="s">
        <v>798</v>
      </c>
      <c r="H30" s="61" t="s">
        <v>1311</v>
      </c>
    </row>
    <row r="31" spans="1:8" ht="24" customHeight="1" x14ac:dyDescent="0.25">
      <c r="A31" s="16" t="s">
        <v>797</v>
      </c>
      <c r="B31" s="16" t="s">
        <v>799</v>
      </c>
      <c r="C31" s="22" t="s">
        <v>800</v>
      </c>
      <c r="D31" s="16" t="s">
        <v>794</v>
      </c>
      <c r="E31" s="18" t="str">
        <f t="shared" si="0"/>
        <v>Bind</v>
      </c>
      <c r="F31" s="23" t="str">
        <f t="shared" si="1"/>
        <v>⧓</v>
      </c>
      <c r="G31" s="24" t="s">
        <v>801</v>
      </c>
      <c r="H31" s="61" t="s">
        <v>1306</v>
      </c>
    </row>
    <row r="32" spans="1:8" ht="24" customHeight="1" x14ac:dyDescent="0.25">
      <c r="A32" s="16" t="s">
        <v>802</v>
      </c>
      <c r="B32" s="16" t="s">
        <v>803</v>
      </c>
      <c r="C32" s="22" t="s">
        <v>804</v>
      </c>
      <c r="D32" s="16" t="s">
        <v>805</v>
      </c>
      <c r="E32" s="18" t="str">
        <f t="shared" si="0"/>
        <v>Repel</v>
      </c>
      <c r="F32" s="23" t="str">
        <f t="shared" si="1"/>
        <v>⇉</v>
      </c>
      <c r="G32" s="24" t="s">
        <v>806</v>
      </c>
      <c r="H32" s="61" t="s">
        <v>1284</v>
      </c>
    </row>
    <row r="33" spans="1:8" ht="24" customHeight="1" x14ac:dyDescent="0.25">
      <c r="A33" s="16" t="s">
        <v>805</v>
      </c>
      <c r="B33" s="16" t="s">
        <v>807</v>
      </c>
      <c r="C33" s="22" t="s">
        <v>808</v>
      </c>
      <c r="D33" s="16" t="s">
        <v>802</v>
      </c>
      <c r="E33" s="18" t="str">
        <f t="shared" si="0"/>
        <v>Attract</v>
      </c>
      <c r="F33" s="23" t="str">
        <f t="shared" si="1"/>
        <v>⇇</v>
      </c>
      <c r="G33" s="24" t="s">
        <v>809</v>
      </c>
      <c r="H33" s="61" t="s">
        <v>1283</v>
      </c>
    </row>
    <row r="34" spans="1:8" ht="24" customHeight="1" x14ac:dyDescent="0.25">
      <c r="A34" s="16" t="s">
        <v>810</v>
      </c>
      <c r="B34" s="16" t="s">
        <v>811</v>
      </c>
      <c r="C34" s="22" t="s">
        <v>812</v>
      </c>
      <c r="D34" s="16" t="s">
        <v>813</v>
      </c>
      <c r="E34" s="18" t="str">
        <f t="shared" ref="E34:E57" si="2">IFERROR(INDEX($B:$B,MATCH($D34,$A:$A,0)),"")</f>
        <v>Take</v>
      </c>
      <c r="F34" s="23" t="str">
        <f t="shared" ref="F34:F57" si="3">IFERROR(INDEX($C:$C,MATCH($D34,$A:$A,0)),"")</f>
        <v>⊲</v>
      </c>
      <c r="G34" s="24" t="s">
        <v>814</v>
      </c>
      <c r="H34" s="61" t="s">
        <v>1352</v>
      </c>
    </row>
    <row r="35" spans="1:8" ht="24" customHeight="1" x14ac:dyDescent="0.25">
      <c r="A35" s="16" t="s">
        <v>813</v>
      </c>
      <c r="B35" s="16" t="s">
        <v>815</v>
      </c>
      <c r="C35" s="22" t="s">
        <v>816</v>
      </c>
      <c r="D35" s="16" t="s">
        <v>810</v>
      </c>
      <c r="E35" s="18" t="str">
        <f t="shared" si="2"/>
        <v>Give</v>
      </c>
      <c r="F35" s="23" t="str">
        <f t="shared" si="3"/>
        <v>⊳</v>
      </c>
      <c r="G35" s="24" t="s">
        <v>817</v>
      </c>
      <c r="H35" s="61" t="s">
        <v>1353</v>
      </c>
    </row>
    <row r="36" spans="1:8" ht="24" customHeight="1" x14ac:dyDescent="0.25">
      <c r="A36" s="16" t="s">
        <v>818</v>
      </c>
      <c r="B36" s="16" t="s">
        <v>819</v>
      </c>
      <c r="C36" s="22" t="s">
        <v>820</v>
      </c>
      <c r="D36" s="16" t="s">
        <v>821</v>
      </c>
      <c r="E36" s="18" t="str">
        <f t="shared" si="2"/>
        <v>Other</v>
      </c>
      <c r="F36" s="23" t="str">
        <f t="shared" si="3"/>
        <v>⚬</v>
      </c>
      <c r="G36" s="24" t="s">
        <v>822</v>
      </c>
      <c r="H36" s="61" t="s">
        <v>1354</v>
      </c>
    </row>
    <row r="37" spans="1:8" ht="24" customHeight="1" x14ac:dyDescent="0.25">
      <c r="A37" s="16" t="s">
        <v>821</v>
      </c>
      <c r="B37" s="16" t="s">
        <v>823</v>
      </c>
      <c r="C37" s="22" t="s">
        <v>824</v>
      </c>
      <c r="D37" s="16" t="s">
        <v>818</v>
      </c>
      <c r="E37" s="18" t="str">
        <f t="shared" si="2"/>
        <v>Self</v>
      </c>
      <c r="F37" s="23" t="str">
        <f t="shared" si="3"/>
        <v>☉</v>
      </c>
      <c r="G37" s="24" t="s">
        <v>825</v>
      </c>
      <c r="H37" s="61" t="s">
        <v>1355</v>
      </c>
    </row>
    <row r="38" spans="1:8" ht="24" customHeight="1" x14ac:dyDescent="0.25">
      <c r="A38" s="16" t="s">
        <v>826</v>
      </c>
      <c r="B38" s="16" t="s">
        <v>827</v>
      </c>
      <c r="C38" s="22" t="s">
        <v>828</v>
      </c>
      <c r="D38" s="16" t="s">
        <v>829</v>
      </c>
      <c r="E38" s="18" t="str">
        <f t="shared" si="2"/>
        <v>Entropy</v>
      </c>
      <c r="F38" s="23" t="str">
        <f t="shared" si="3"/>
        <v>⁂</v>
      </c>
      <c r="G38" s="24" t="s">
        <v>830</v>
      </c>
      <c r="H38" s="61" t="s">
        <v>1356</v>
      </c>
    </row>
    <row r="39" spans="1:8" ht="24" customHeight="1" x14ac:dyDescent="0.25">
      <c r="A39" s="16" t="s">
        <v>829</v>
      </c>
      <c r="B39" s="16" t="s">
        <v>831</v>
      </c>
      <c r="C39" s="22" t="s">
        <v>832</v>
      </c>
      <c r="D39" s="16" t="s">
        <v>826</v>
      </c>
      <c r="E39" s="18" t="str">
        <f t="shared" si="2"/>
        <v>Order</v>
      </c>
      <c r="F39" s="23" t="str">
        <f t="shared" si="3"/>
        <v>⊞</v>
      </c>
      <c r="G39" s="24" t="s">
        <v>833</v>
      </c>
      <c r="H39" s="61" t="s">
        <v>1357</v>
      </c>
    </row>
    <row r="40" spans="1:8" ht="24" customHeight="1" x14ac:dyDescent="0.25">
      <c r="A40" s="16" t="s">
        <v>834</v>
      </c>
      <c r="B40" s="16" t="s">
        <v>835</v>
      </c>
      <c r="C40" s="22" t="s">
        <v>836</v>
      </c>
      <c r="D40" s="16" t="s">
        <v>837</v>
      </c>
      <c r="E40" s="18" t="str">
        <f t="shared" si="2"/>
        <v>Tainted</v>
      </c>
      <c r="F40" s="23" t="str">
        <f t="shared" si="3"/>
        <v>◈</v>
      </c>
      <c r="G40" s="24" t="s">
        <v>838</v>
      </c>
      <c r="H40" s="61" t="s">
        <v>1314</v>
      </c>
    </row>
    <row r="41" spans="1:8" ht="24" customHeight="1" x14ac:dyDescent="0.25">
      <c r="A41" s="16" t="s">
        <v>837</v>
      </c>
      <c r="B41" s="16" t="s">
        <v>839</v>
      </c>
      <c r="C41" s="22" t="s">
        <v>840</v>
      </c>
      <c r="D41" s="16" t="s">
        <v>834</v>
      </c>
      <c r="E41" s="18" t="str">
        <f t="shared" si="2"/>
        <v>Pure</v>
      </c>
      <c r="F41" s="23" t="str">
        <f t="shared" si="3"/>
        <v>◇</v>
      </c>
      <c r="G41" s="24" t="s">
        <v>841</v>
      </c>
      <c r="H41" s="61" t="s">
        <v>1319</v>
      </c>
    </row>
    <row r="42" spans="1:8" ht="24" customHeight="1" x14ac:dyDescent="0.25">
      <c r="A42" s="16" t="s">
        <v>842</v>
      </c>
      <c r="B42" s="16" t="s">
        <v>843</v>
      </c>
      <c r="C42" s="22" t="s">
        <v>844</v>
      </c>
      <c r="D42" s="16" t="s">
        <v>845</v>
      </c>
      <c r="E42" s="18" t="str">
        <f t="shared" si="2"/>
        <v>Veil</v>
      </c>
      <c r="F42" s="23" t="str">
        <f t="shared" si="3"/>
        <v>◒</v>
      </c>
      <c r="G42" s="24" t="s">
        <v>846</v>
      </c>
      <c r="H42" s="61" t="s">
        <v>1358</v>
      </c>
    </row>
    <row r="43" spans="1:8" ht="24" customHeight="1" x14ac:dyDescent="0.25">
      <c r="A43" s="16" t="s">
        <v>845</v>
      </c>
      <c r="B43" s="16" t="s">
        <v>847</v>
      </c>
      <c r="C43" s="22" t="s">
        <v>848</v>
      </c>
      <c r="D43" s="16" t="s">
        <v>842</v>
      </c>
      <c r="E43" s="18" t="str">
        <f t="shared" si="2"/>
        <v>Reveal</v>
      </c>
      <c r="F43" s="23" t="str">
        <f t="shared" si="3"/>
        <v>☼</v>
      </c>
      <c r="G43" s="24" t="s">
        <v>849</v>
      </c>
      <c r="H43" s="61" t="s">
        <v>1344</v>
      </c>
    </row>
    <row r="44" spans="1:8" ht="24" customHeight="1" x14ac:dyDescent="0.25">
      <c r="A44" s="16" t="s">
        <v>850</v>
      </c>
      <c r="B44" s="16" t="s">
        <v>851</v>
      </c>
      <c r="C44" s="22" t="s">
        <v>852</v>
      </c>
      <c r="D44" s="16" t="s">
        <v>853</v>
      </c>
      <c r="E44" s="18" t="str">
        <f t="shared" si="2"/>
        <v>Fury</v>
      </c>
      <c r="F44" s="23" t="str">
        <f t="shared" si="3"/>
        <v>≋</v>
      </c>
      <c r="G44" s="24" t="s">
        <v>854</v>
      </c>
      <c r="H44" s="61" t="s">
        <v>1314</v>
      </c>
    </row>
    <row r="45" spans="1:8" ht="24" customHeight="1" x14ac:dyDescent="0.25">
      <c r="A45" s="16" t="s">
        <v>853</v>
      </c>
      <c r="B45" s="16" t="s">
        <v>855</v>
      </c>
      <c r="C45" s="22" t="s">
        <v>856</v>
      </c>
      <c r="D45" s="16" t="s">
        <v>850</v>
      </c>
      <c r="E45" s="18" t="str">
        <f t="shared" si="2"/>
        <v>Calm</v>
      </c>
      <c r="F45" s="23" t="str">
        <f t="shared" si="3"/>
        <v>≈</v>
      </c>
      <c r="G45" s="24" t="s">
        <v>857</v>
      </c>
      <c r="H45" s="61" t="s">
        <v>1350</v>
      </c>
    </row>
    <row r="46" spans="1:8" ht="24" customHeight="1" x14ac:dyDescent="0.25">
      <c r="A46" s="16" t="s">
        <v>858</v>
      </c>
      <c r="B46" s="16" t="s">
        <v>859</v>
      </c>
      <c r="C46" s="22" t="s">
        <v>860</v>
      </c>
      <c r="D46" s="16" t="s">
        <v>861</v>
      </c>
      <c r="E46" s="18" t="str">
        <f t="shared" si="2"/>
        <v>Yield</v>
      </c>
      <c r="F46" s="23" t="str">
        <f t="shared" si="3"/>
        <v>⇓</v>
      </c>
      <c r="G46" s="24" t="s">
        <v>862</v>
      </c>
      <c r="H46" s="61" t="s">
        <v>1300</v>
      </c>
    </row>
    <row r="47" spans="1:8" ht="24" customHeight="1" x14ac:dyDescent="0.25">
      <c r="A47" s="16" t="s">
        <v>861</v>
      </c>
      <c r="B47" s="16" t="s">
        <v>863</v>
      </c>
      <c r="C47" s="22" t="s">
        <v>864</v>
      </c>
      <c r="D47" s="16" t="s">
        <v>858</v>
      </c>
      <c r="E47" s="18" t="str">
        <f t="shared" si="2"/>
        <v>Will</v>
      </c>
      <c r="F47" s="23" t="str">
        <f t="shared" si="3"/>
        <v>⇑</v>
      </c>
      <c r="G47" s="24" t="s">
        <v>865</v>
      </c>
      <c r="H47" s="61" t="s">
        <v>1359</v>
      </c>
    </row>
    <row r="48" spans="1:8" ht="24" customHeight="1" x14ac:dyDescent="0.25">
      <c r="A48" s="16" t="s">
        <v>866</v>
      </c>
      <c r="B48" s="16" t="s">
        <v>867</v>
      </c>
      <c r="C48" s="22" t="s">
        <v>868</v>
      </c>
      <c r="D48" s="16" t="s">
        <v>869</v>
      </c>
      <c r="E48" s="18" t="str">
        <f t="shared" si="2"/>
        <v>Forget</v>
      </c>
      <c r="F48" s="23" t="str">
        <f t="shared" si="3"/>
        <v>⊘</v>
      </c>
      <c r="G48" s="24" t="s">
        <v>870</v>
      </c>
      <c r="H48" s="61" t="s">
        <v>1354</v>
      </c>
    </row>
    <row r="49" spans="1:8" ht="24" customHeight="1" x14ac:dyDescent="0.25">
      <c r="A49" s="16" t="s">
        <v>869</v>
      </c>
      <c r="B49" s="16" t="s">
        <v>871</v>
      </c>
      <c r="C49" s="22" t="s">
        <v>872</v>
      </c>
      <c r="D49" s="16" t="s">
        <v>866</v>
      </c>
      <c r="E49" s="18" t="str">
        <f t="shared" si="2"/>
        <v>Remember</v>
      </c>
      <c r="F49" s="23" t="str">
        <f t="shared" si="3"/>
        <v>⊛</v>
      </c>
      <c r="G49" s="24" t="s">
        <v>873</v>
      </c>
      <c r="H49" s="61" t="s">
        <v>1300</v>
      </c>
    </row>
    <row r="50" spans="1:8" ht="24" customHeight="1" x14ac:dyDescent="0.25">
      <c r="A50" s="16" t="s">
        <v>874</v>
      </c>
      <c r="B50" s="16" t="s">
        <v>875</v>
      </c>
      <c r="C50" s="22" t="s">
        <v>876</v>
      </c>
      <c r="D50" s="16" t="s">
        <v>877</v>
      </c>
      <c r="E50" s="18" t="str">
        <f t="shared" si="2"/>
        <v>Reflux</v>
      </c>
      <c r="F50" s="23" t="str">
        <f t="shared" si="3"/>
        <v>✧</v>
      </c>
      <c r="G50" s="24" t="s">
        <v>878</v>
      </c>
      <c r="H50" s="61" t="s">
        <v>1326</v>
      </c>
    </row>
    <row r="51" spans="1:8" ht="24" customHeight="1" x14ac:dyDescent="0.25">
      <c r="A51" s="16" t="s">
        <v>877</v>
      </c>
      <c r="B51" s="16" t="s">
        <v>879</v>
      </c>
      <c r="C51" s="22" t="s">
        <v>880</v>
      </c>
      <c r="D51" s="16" t="s">
        <v>874</v>
      </c>
      <c r="E51" s="18" t="str">
        <f t="shared" si="2"/>
        <v>Essence</v>
      </c>
      <c r="F51" s="23" t="str">
        <f t="shared" si="3"/>
        <v>✦</v>
      </c>
      <c r="G51" s="24" t="s">
        <v>881</v>
      </c>
      <c r="H51" s="61" t="s">
        <v>1360</v>
      </c>
    </row>
    <row r="52" spans="1:8" ht="24" customHeight="1" x14ac:dyDescent="0.25">
      <c r="A52" s="16" t="s">
        <v>882</v>
      </c>
      <c r="B52" s="16" t="s">
        <v>51</v>
      </c>
      <c r="C52" s="22" t="s">
        <v>883</v>
      </c>
      <c r="D52" s="16" t="s">
        <v>884</v>
      </c>
      <c r="E52" s="18" t="str">
        <f t="shared" si="2"/>
        <v>Death</v>
      </c>
      <c r="F52" s="23" t="str">
        <f t="shared" si="3"/>
        <v>⚱</v>
      </c>
      <c r="G52" s="24" t="s">
        <v>885</v>
      </c>
      <c r="H52" s="61" t="s">
        <v>1361</v>
      </c>
    </row>
    <row r="53" spans="1:8" ht="24" customHeight="1" x14ac:dyDescent="0.25">
      <c r="A53" s="16" t="s">
        <v>884</v>
      </c>
      <c r="B53" s="16" t="s">
        <v>54</v>
      </c>
      <c r="C53" s="22" t="s">
        <v>886</v>
      </c>
      <c r="D53" s="16" t="s">
        <v>882</v>
      </c>
      <c r="E53" s="18" t="str">
        <f t="shared" si="2"/>
        <v>Life</v>
      </c>
      <c r="F53" s="23" t="str">
        <f t="shared" si="3"/>
        <v>⚘</v>
      </c>
      <c r="G53" s="24" t="s">
        <v>887</v>
      </c>
      <c r="H53" s="61" t="s">
        <v>1362</v>
      </c>
    </row>
    <row r="54" spans="1:8" ht="24" customHeight="1" x14ac:dyDescent="0.25">
      <c r="A54" s="16" t="s">
        <v>888</v>
      </c>
      <c r="B54" s="16" t="s">
        <v>889</v>
      </c>
      <c r="C54" s="22" t="s">
        <v>890</v>
      </c>
      <c r="D54" s="16" t="s">
        <v>891</v>
      </c>
      <c r="E54" s="18" t="str">
        <f t="shared" si="2"/>
        <v>Body</v>
      </c>
      <c r="F54" s="23" t="str">
        <f t="shared" si="3"/>
        <v>⬢</v>
      </c>
      <c r="G54" s="24" t="s">
        <v>892</v>
      </c>
      <c r="H54" s="61" t="s">
        <v>1363</v>
      </c>
    </row>
    <row r="55" spans="1:8" ht="24" customHeight="1" x14ac:dyDescent="0.25">
      <c r="A55" s="16" t="s">
        <v>891</v>
      </c>
      <c r="B55" s="16" t="s">
        <v>893</v>
      </c>
      <c r="C55" s="22" t="s">
        <v>894</v>
      </c>
      <c r="D55" s="16" t="s">
        <v>888</v>
      </c>
      <c r="E55" s="18" t="str">
        <f t="shared" si="2"/>
        <v>Soul</v>
      </c>
      <c r="F55" s="23" t="str">
        <f t="shared" si="3"/>
        <v>✵</v>
      </c>
      <c r="G55" s="24" t="s">
        <v>895</v>
      </c>
      <c r="H55" s="61" t="s">
        <v>1362</v>
      </c>
    </row>
    <row r="56" spans="1:8" ht="24" customHeight="1" x14ac:dyDescent="0.25">
      <c r="A56" s="16" t="s">
        <v>896</v>
      </c>
      <c r="B56" s="16" t="s">
        <v>897</v>
      </c>
      <c r="C56" s="22" t="s">
        <v>898</v>
      </c>
      <c r="D56" s="16" t="s">
        <v>899</v>
      </c>
      <c r="E56" s="18" t="str">
        <f t="shared" si="2"/>
        <v>Chance</v>
      </c>
      <c r="F56" s="23" t="str">
        <f t="shared" si="3"/>
        <v>⚄</v>
      </c>
      <c r="G56" s="24" t="s">
        <v>900</v>
      </c>
      <c r="H56" s="61" t="s">
        <v>1356</v>
      </c>
    </row>
    <row r="57" spans="1:8" ht="24" customHeight="1" x14ac:dyDescent="0.25">
      <c r="A57" s="16" t="s">
        <v>899</v>
      </c>
      <c r="B57" s="16" t="s">
        <v>901</v>
      </c>
      <c r="C57" s="22" t="s">
        <v>902</v>
      </c>
      <c r="D57" s="16" t="s">
        <v>896</v>
      </c>
      <c r="E57" s="18" t="str">
        <f t="shared" si="2"/>
        <v>Fate</v>
      </c>
      <c r="F57" s="23" t="str">
        <f t="shared" si="3"/>
        <v>⊜</v>
      </c>
      <c r="G57" s="24" t="s">
        <v>903</v>
      </c>
      <c r="H57" s="61" t="s">
        <v>1350</v>
      </c>
    </row>
  </sheetData>
  <autoFilter ref="A1:G57" xr:uid="{00000000-0009-0000-0000-000003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B76BF-2512-40E2-935C-38AB239C315D}">
  <dimension ref="A1:E40"/>
  <sheetViews>
    <sheetView workbookViewId="0"/>
  </sheetViews>
  <sheetFormatPr defaultRowHeight="12.75" x14ac:dyDescent="0.2"/>
  <cols>
    <col min="1" max="1" width="22.7109375" style="31" customWidth="1"/>
    <col min="2" max="2" width="14.7109375" style="31" customWidth="1"/>
    <col min="3" max="3" width="22.7109375" style="31" customWidth="1"/>
    <col min="4" max="4" width="44.7109375" style="31" customWidth="1"/>
    <col min="5" max="5" width="60.7109375" style="31" customWidth="1"/>
    <col min="6" max="16384" width="9.140625" style="31"/>
  </cols>
  <sheetData>
    <row r="1" spans="1:5" ht="20.25" x14ac:dyDescent="0.3">
      <c r="A1" s="43" t="s">
        <v>1070</v>
      </c>
    </row>
    <row r="3" spans="1:5" ht="25.5" x14ac:dyDescent="0.2">
      <c r="A3" s="35" t="s">
        <v>1071</v>
      </c>
      <c r="B3" s="35" t="s">
        <v>1072</v>
      </c>
      <c r="C3" s="35" t="s">
        <v>1073</v>
      </c>
      <c r="D3" s="35" t="s">
        <v>1074</v>
      </c>
      <c r="E3" s="35" t="s">
        <v>1075</v>
      </c>
    </row>
    <row r="4" spans="1:5" ht="25.5" x14ac:dyDescent="0.2">
      <c r="A4" s="46" t="s">
        <v>1076</v>
      </c>
      <c r="B4" s="47">
        <v>1</v>
      </c>
      <c r="C4" s="47">
        <v>1.5</v>
      </c>
      <c r="D4" s="45" t="s">
        <v>1077</v>
      </c>
      <c r="E4" s="45" t="s">
        <v>1078</v>
      </c>
    </row>
    <row r="5" spans="1:5" x14ac:dyDescent="0.2">
      <c r="A5" s="46" t="s">
        <v>1079</v>
      </c>
      <c r="B5" s="47">
        <v>2</v>
      </c>
      <c r="C5" s="47">
        <v>1</v>
      </c>
      <c r="D5" s="45" t="s">
        <v>1080</v>
      </c>
      <c r="E5" s="45" t="s">
        <v>1081</v>
      </c>
    </row>
    <row r="6" spans="1:5" x14ac:dyDescent="0.2">
      <c r="A6" s="46" t="s">
        <v>1082</v>
      </c>
      <c r="B6" s="47">
        <v>3</v>
      </c>
      <c r="C6" s="47">
        <v>0.7</v>
      </c>
      <c r="D6" s="45" t="s">
        <v>1083</v>
      </c>
      <c r="E6" s="45" t="s">
        <v>1084</v>
      </c>
    </row>
    <row r="7" spans="1:5" ht="25.5" x14ac:dyDescent="0.2">
      <c r="A7" s="46" t="s">
        <v>1085</v>
      </c>
      <c r="B7" s="47">
        <v>4</v>
      </c>
      <c r="C7" s="47">
        <v>0.4</v>
      </c>
      <c r="D7" s="45" t="s">
        <v>1086</v>
      </c>
      <c r="E7" s="45" t="s">
        <v>1087</v>
      </c>
    </row>
    <row r="9" spans="1:5" x14ac:dyDescent="0.2">
      <c r="A9" s="31" t="s">
        <v>1088</v>
      </c>
      <c r="B9" s="33">
        <v>2.5</v>
      </c>
    </row>
    <row r="10" spans="1:5" ht="54" customHeight="1" x14ac:dyDescent="0.2">
      <c r="A10" s="56" t="s">
        <v>1089</v>
      </c>
      <c r="B10" s="56"/>
      <c r="C10" s="56"/>
      <c r="D10" s="56"/>
      <c r="E10" s="56"/>
    </row>
    <row r="12" spans="1:5" x14ac:dyDescent="0.2">
      <c r="A12" s="44" t="s">
        <v>1090</v>
      </c>
      <c r="B12" s="44" t="s">
        <v>1091</v>
      </c>
      <c r="C12" s="44" t="s">
        <v>1092</v>
      </c>
    </row>
    <row r="13" spans="1:5" x14ac:dyDescent="0.2">
      <c r="A13" s="49" t="s">
        <v>1093</v>
      </c>
      <c r="B13" s="33">
        <v>0</v>
      </c>
      <c r="C13" s="48" t="s">
        <v>1094</v>
      </c>
    </row>
    <row r="14" spans="1:5" x14ac:dyDescent="0.2">
      <c r="A14" s="49" t="s">
        <v>1095</v>
      </c>
      <c r="B14" s="33">
        <v>0.4</v>
      </c>
      <c r="C14" s="48" t="s">
        <v>1096</v>
      </c>
    </row>
    <row r="15" spans="1:5" x14ac:dyDescent="0.2">
      <c r="A15" s="49" t="s">
        <v>1097</v>
      </c>
      <c r="B15" s="33">
        <v>1.7</v>
      </c>
      <c r="C15" s="48" t="s">
        <v>1098</v>
      </c>
    </row>
    <row r="17" spans="1:5" ht="27.95" customHeight="1" x14ac:dyDescent="0.2">
      <c r="A17" s="57" t="s">
        <v>1099</v>
      </c>
      <c r="B17" s="56"/>
      <c r="C17" s="56"/>
      <c r="D17" s="56"/>
      <c r="E17" s="56"/>
    </row>
    <row r="19" spans="1:5" ht="15.75" x14ac:dyDescent="0.25">
      <c r="A19" s="63" t="s">
        <v>1409</v>
      </c>
    </row>
    <row r="20" spans="1:5" ht="42" customHeight="1" x14ac:dyDescent="0.2">
      <c r="A20" s="56" t="s">
        <v>1410</v>
      </c>
      <c r="B20" s="56"/>
      <c r="C20" s="56"/>
      <c r="D20" s="56"/>
      <c r="E20" s="56"/>
    </row>
    <row r="22" spans="1:5" ht="25.5" x14ac:dyDescent="0.2">
      <c r="A22" s="35" t="s">
        <v>1411</v>
      </c>
      <c r="B22" s="35" t="s">
        <v>1412</v>
      </c>
    </row>
    <row r="23" spans="1:5" x14ac:dyDescent="0.2">
      <c r="A23" s="31">
        <v>1</v>
      </c>
      <c r="B23" s="61">
        <v>1</v>
      </c>
    </row>
    <row r="24" spans="1:5" x14ac:dyDescent="0.2">
      <c r="A24" s="31">
        <v>2</v>
      </c>
      <c r="B24" s="61">
        <v>0.6</v>
      </c>
    </row>
    <row r="25" spans="1:5" x14ac:dyDescent="0.2">
      <c r="A25" s="31">
        <v>3</v>
      </c>
      <c r="B25" s="61">
        <v>0.35</v>
      </c>
    </row>
    <row r="26" spans="1:5" x14ac:dyDescent="0.2">
      <c r="A26" s="31" t="s">
        <v>1413</v>
      </c>
      <c r="B26" s="61">
        <v>0.2</v>
      </c>
    </row>
    <row r="28" spans="1:5" ht="25.5" x14ac:dyDescent="0.2">
      <c r="A28" s="35" t="s">
        <v>1090</v>
      </c>
      <c r="B28" s="35" t="s">
        <v>1414</v>
      </c>
      <c r="C28" s="35" t="s">
        <v>1415</v>
      </c>
      <c r="D28" s="35" t="s">
        <v>1416</v>
      </c>
    </row>
    <row r="29" spans="1:5" x14ac:dyDescent="0.2">
      <c r="A29" s="31" t="s">
        <v>1093</v>
      </c>
      <c r="B29" s="33">
        <v>0.75</v>
      </c>
      <c r="C29" s="33">
        <v>0.75</v>
      </c>
      <c r="D29" s="31" t="s">
        <v>1417</v>
      </c>
    </row>
    <row r="30" spans="1:5" x14ac:dyDescent="0.2">
      <c r="A30" s="31" t="s">
        <v>1095</v>
      </c>
      <c r="B30" s="33">
        <v>1</v>
      </c>
      <c r="C30" s="33">
        <v>0.5</v>
      </c>
      <c r="D30" s="31" t="s">
        <v>1418</v>
      </c>
    </row>
    <row r="31" spans="1:5" x14ac:dyDescent="0.2">
      <c r="A31" s="31" t="s">
        <v>1097</v>
      </c>
      <c r="B31" s="33">
        <v>1.5</v>
      </c>
      <c r="C31" s="33">
        <v>0</v>
      </c>
      <c r="D31" s="31" t="s">
        <v>1419</v>
      </c>
    </row>
    <row r="33" spans="1:5" x14ac:dyDescent="0.2">
      <c r="A33" s="31" t="s">
        <v>1420</v>
      </c>
      <c r="B33" s="33">
        <v>0.5</v>
      </c>
    </row>
    <row r="34" spans="1:5" x14ac:dyDescent="0.2">
      <c r="A34" s="31" t="s">
        <v>1421</v>
      </c>
      <c r="B34" s="33">
        <v>0.4</v>
      </c>
    </row>
    <row r="35" spans="1:5" x14ac:dyDescent="0.2">
      <c r="A35" s="31" t="s">
        <v>1422</v>
      </c>
      <c r="B35" s="33">
        <v>2.5</v>
      </c>
    </row>
    <row r="36" spans="1:5" x14ac:dyDescent="0.2">
      <c r="A36" s="31" t="s">
        <v>1423</v>
      </c>
      <c r="B36" s="33">
        <v>1</v>
      </c>
    </row>
    <row r="38" spans="1:5" ht="30" customHeight="1" x14ac:dyDescent="0.2">
      <c r="A38" s="56" t="s">
        <v>1424</v>
      </c>
      <c r="B38" s="56"/>
      <c r="C38" s="56"/>
      <c r="D38" s="56"/>
      <c r="E38" s="56"/>
    </row>
    <row r="40" spans="1:5" ht="69.95" customHeight="1" x14ac:dyDescent="0.2">
      <c r="A40" s="56" t="s">
        <v>1425</v>
      </c>
      <c r="B40" s="56"/>
      <c r="C40" s="56"/>
      <c r="D40" s="56"/>
      <c r="E40" s="56"/>
    </row>
  </sheetData>
  <mergeCells count="5">
    <mergeCell ref="A10:E10"/>
    <mergeCell ref="A17:E17"/>
    <mergeCell ref="A20:E20"/>
    <mergeCell ref="A38:E38"/>
    <mergeCell ref="A40:E4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A7BD5"/>
  </sheetPr>
  <dimension ref="A1:J23"/>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25</v>
      </c>
    </row>
    <row r="2" spans="1:10" x14ac:dyDescent="0.25">
      <c r="A2" s="60" t="s">
        <v>904</v>
      </c>
      <c r="B2" s="59"/>
      <c r="C2" s="59"/>
      <c r="D2" s="59"/>
      <c r="E2" s="59"/>
      <c r="F2" s="59"/>
      <c r="G2" s="59"/>
      <c r="H2" s="59"/>
      <c r="I2" s="59"/>
      <c r="J2" s="59"/>
    </row>
    <row r="3" spans="1:10" ht="30" customHeight="1" x14ac:dyDescent="0.25">
      <c r="A3" s="58" t="s">
        <v>905</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90</v>
      </c>
      <c r="C6" s="27" t="str">
        <f>IFERROR(INDEX('Base Runes'!$D:$D,MATCH($B6,'Base Runes'!$A:$A,0)),"")</f>
        <v>Flood</v>
      </c>
      <c r="D6" s="28" t="str">
        <f>IFERROR(INDEX('Base Runes'!$E:$E,MATCH($B6,'Base Runes'!$A:$A,0)),"")</f>
        <v>ᚠ</v>
      </c>
      <c r="E6" s="10" t="s">
        <v>1179</v>
      </c>
      <c r="F6" s="62" t="s">
        <v>1364</v>
      </c>
      <c r="G6" s="11" t="str">
        <f>IFERROR(INDEX('Base Runes'!$G:$G,MATCH($B6,'Base Runes'!$A:$A,0)),"")</f>
        <v>Drain</v>
      </c>
      <c r="H6" s="55"/>
      <c r="I6" s="10" t="s">
        <v>918</v>
      </c>
      <c r="J6" s="10" t="s">
        <v>924</v>
      </c>
    </row>
    <row r="7" spans="1:10" ht="30" customHeight="1" x14ac:dyDescent="0.25">
      <c r="A7" s="26">
        <v>1</v>
      </c>
      <c r="B7" s="10" t="s">
        <v>93</v>
      </c>
      <c r="C7" s="27" t="str">
        <f>IFERROR(INDEX('Base Runes'!$D:$D,MATCH($B7,'Base Runes'!$A:$A,0)),"")</f>
        <v>Drain</v>
      </c>
      <c r="D7" s="28" t="str">
        <f>IFERROR(INDEX('Base Runes'!$E:$E,MATCH($B7,'Base Runes'!$A:$A,0)),"")</f>
        <v>ᚡ</v>
      </c>
      <c r="E7" s="10" t="s">
        <v>1180</v>
      </c>
      <c r="F7" s="62" t="s">
        <v>1365</v>
      </c>
      <c r="G7" s="11" t="str">
        <f>IFERROR(INDEX('Base Runes'!$G:$G,MATCH($B7,'Base Runes'!$A:$A,0)),"")</f>
        <v>Flood</v>
      </c>
      <c r="H7" s="55"/>
      <c r="I7" s="10"/>
      <c r="J7" s="10"/>
    </row>
    <row r="8" spans="1:10" ht="30" customHeight="1" x14ac:dyDescent="0.25">
      <c r="A8" s="26">
        <v>2</v>
      </c>
      <c r="B8" s="10" t="s">
        <v>98</v>
      </c>
      <c r="C8" s="27" t="str">
        <f>IFERROR(INDEX('Base Runes'!$D:$D,MATCH($B8,'Base Runes'!$A:$A,0)),"")</f>
        <v>Surge</v>
      </c>
      <c r="D8" s="28" t="str">
        <f>IFERROR(INDEX('Base Runes'!$E:$E,MATCH($B8,'Base Runes'!$A:$A,0)),"")</f>
        <v>ᚢ</v>
      </c>
      <c r="E8" s="10" t="s">
        <v>911</v>
      </c>
      <c r="F8" s="10" t="s">
        <v>912</v>
      </c>
      <c r="G8" s="11" t="str">
        <f>IFERROR(INDEX('Base Runes'!$G:$G,MATCH($B8,'Base Runes'!$A:$A,0)),"")</f>
        <v>Ebb</v>
      </c>
      <c r="H8" s="10" t="s">
        <v>1181</v>
      </c>
      <c r="I8" s="10" t="s">
        <v>913</v>
      </c>
      <c r="J8" s="10"/>
    </row>
    <row r="9" spans="1:10" ht="30" customHeight="1" x14ac:dyDescent="0.25">
      <c r="A9" s="26">
        <v>2</v>
      </c>
      <c r="B9" s="10" t="s">
        <v>100</v>
      </c>
      <c r="C9" s="27" t="str">
        <f>IFERROR(INDEX('Base Runes'!$D:$D,MATCH($B9,'Base Runes'!$A:$A,0)),"")</f>
        <v>Ebb</v>
      </c>
      <c r="D9" s="28" t="str">
        <f>IFERROR(INDEX('Base Runes'!$E:$E,MATCH($B9,'Base Runes'!$A:$A,0)),"")</f>
        <v>ᚣ</v>
      </c>
      <c r="E9" s="10" t="s">
        <v>914</v>
      </c>
      <c r="F9" s="10" t="s">
        <v>915</v>
      </c>
      <c r="G9" s="11" t="str">
        <f>IFERROR(INDEX('Base Runes'!$G:$G,MATCH($B9,'Base Runes'!$A:$A,0)),"")</f>
        <v>Surge</v>
      </c>
      <c r="H9" s="10" t="s">
        <v>1181</v>
      </c>
      <c r="I9" s="10" t="s">
        <v>916</v>
      </c>
      <c r="J9" s="10"/>
    </row>
    <row r="10" spans="1:10" ht="30" customHeight="1" x14ac:dyDescent="0.25">
      <c r="A10" s="26">
        <v>3</v>
      </c>
      <c r="B10" s="10" t="s">
        <v>104</v>
      </c>
      <c r="C10" s="27" t="str">
        <f>IFERROR(INDEX('Base Runes'!$D:$D,MATCH($B10,'Base Runes'!$A:$A,0)),"")</f>
        <v>Soak</v>
      </c>
      <c r="D10" s="28" t="str">
        <f>IFERROR(INDEX('Base Runes'!$E:$E,MATCH($B10,'Base Runes'!$A:$A,0)),"")</f>
        <v>ᚤ</v>
      </c>
      <c r="E10" s="10" t="s">
        <v>919</v>
      </c>
      <c r="F10" s="10" t="s">
        <v>920</v>
      </c>
      <c r="G10" s="11" t="str">
        <f>IFERROR(INDEX('Base Runes'!$G:$G,MATCH($B10,'Base Runes'!$A:$A,0)),"")</f>
        <v>Dry</v>
      </c>
      <c r="H10" s="10" t="s">
        <v>1182</v>
      </c>
      <c r="I10" s="10"/>
      <c r="J10" s="10"/>
    </row>
    <row r="11" spans="1:10" ht="30" customHeight="1" x14ac:dyDescent="0.25">
      <c r="A11" s="26">
        <v>3</v>
      </c>
      <c r="B11" s="10" t="s">
        <v>107</v>
      </c>
      <c r="C11" s="27" t="str">
        <f>IFERROR(INDEX('Base Runes'!$D:$D,MATCH($B11,'Base Runes'!$A:$A,0)),"")</f>
        <v>Dry</v>
      </c>
      <c r="D11" s="28" t="str">
        <f>IFERROR(INDEX('Base Runes'!$E:$E,MATCH($B11,'Base Runes'!$A:$A,0)),"")</f>
        <v>ᚥ</v>
      </c>
      <c r="E11" s="10" t="s">
        <v>921</v>
      </c>
      <c r="F11" s="10" t="s">
        <v>1183</v>
      </c>
      <c r="G11" s="11" t="str">
        <f>IFERROR(INDEX('Base Runes'!$G:$G,MATCH($B11,'Base Runes'!$A:$A,0)),"")</f>
        <v>Soak</v>
      </c>
      <c r="H11" s="10" t="s">
        <v>1182</v>
      </c>
      <c r="I11" s="10"/>
      <c r="J11" s="10" t="s">
        <v>922</v>
      </c>
    </row>
    <row r="12" spans="1:10" ht="30" customHeight="1" x14ac:dyDescent="0.25">
      <c r="A12" s="26">
        <v>4</v>
      </c>
      <c r="B12" s="10" t="s">
        <v>111</v>
      </c>
      <c r="C12" s="27" t="str">
        <f>IFERROR(INDEX('Base Runes'!$D:$D,MATCH($B12,'Base Runes'!$A:$A,0)),"")</f>
        <v>Float</v>
      </c>
      <c r="D12" s="28" t="str">
        <f>IFERROR(INDEX('Base Runes'!$E:$E,MATCH($B12,'Base Runes'!$A:$A,0)),"")</f>
        <v>ᚦ</v>
      </c>
      <c r="E12" s="10" t="s">
        <v>1184</v>
      </c>
      <c r="F12" s="10" t="s">
        <v>1185</v>
      </c>
      <c r="G12" s="11" t="str">
        <f>IFERROR(INDEX('Base Runes'!$G:$G,MATCH($B12,'Base Runes'!$A:$A,0)),"")</f>
        <v>Drown</v>
      </c>
      <c r="H12" s="10" t="s">
        <v>1186</v>
      </c>
      <c r="I12" s="10"/>
      <c r="J12" s="10"/>
    </row>
    <row r="13" spans="1:10" ht="30" customHeight="1" x14ac:dyDescent="0.25">
      <c r="A13" s="26">
        <v>4</v>
      </c>
      <c r="B13" s="10" t="s">
        <v>113</v>
      </c>
      <c r="C13" s="27" t="str">
        <f>IFERROR(INDEX('Base Runes'!$D:$D,MATCH($B13,'Base Runes'!$A:$A,0)),"")</f>
        <v>Drown</v>
      </c>
      <c r="D13" s="28" t="str">
        <f>IFERROR(INDEX('Base Runes'!$E:$E,MATCH($B13,'Base Runes'!$A:$A,0)),"")</f>
        <v>ᚧ</v>
      </c>
      <c r="E13" s="10" t="s">
        <v>1187</v>
      </c>
      <c r="F13" s="10" t="s">
        <v>1188</v>
      </c>
      <c r="G13" s="11" t="str">
        <f>IFERROR(INDEX('Base Runes'!$G:$G,MATCH($B13,'Base Runes'!$A:$A,0)),"")</f>
        <v>Float</v>
      </c>
      <c r="H13" s="10" t="s">
        <v>1186</v>
      </c>
      <c r="I13" s="10"/>
      <c r="J13" s="10" t="s">
        <v>926</v>
      </c>
    </row>
    <row r="14" spans="1:10" ht="30" customHeight="1" x14ac:dyDescent="0.25">
      <c r="A14" s="26">
        <v>5</v>
      </c>
      <c r="B14" s="10" t="s">
        <v>117</v>
      </c>
      <c r="C14" s="27" t="str">
        <f>IFERROR(INDEX('Base Runes'!$D:$D,MATCH($B14,'Base Runes'!$A:$A,0)),"")</f>
        <v>Gush</v>
      </c>
      <c r="D14" s="28" t="str">
        <f>IFERROR(INDEX('Base Runes'!$E:$E,MATCH($B14,'Base Runes'!$A:$A,0)),"")</f>
        <v>ᚨ</v>
      </c>
      <c r="E14" s="10" t="s">
        <v>1189</v>
      </c>
      <c r="F14" s="62" t="s">
        <v>1366</v>
      </c>
      <c r="G14" s="11" t="str">
        <f>IFERROR(INDEX('Base Runes'!$G:$G,MATCH($B14,'Base Runes'!$A:$A,0)),"")</f>
        <v>Drip</v>
      </c>
      <c r="H14" s="55"/>
      <c r="I14" s="10" t="s">
        <v>923</v>
      </c>
      <c r="J14" s="10"/>
    </row>
    <row r="15" spans="1:10" ht="30" customHeight="1" x14ac:dyDescent="0.25">
      <c r="A15" s="26">
        <v>5</v>
      </c>
      <c r="B15" s="10" t="s">
        <v>119</v>
      </c>
      <c r="C15" s="27" t="str">
        <f>IFERROR(INDEX('Base Runes'!$D:$D,MATCH($B15,'Base Runes'!$A:$A,0)),"")</f>
        <v>Drip</v>
      </c>
      <c r="D15" s="28" t="str">
        <f>IFERROR(INDEX('Base Runes'!$E:$E,MATCH($B15,'Base Runes'!$A:$A,0)),"")</f>
        <v>ᚩ</v>
      </c>
      <c r="E15" s="10" t="s">
        <v>1190</v>
      </c>
      <c r="F15" s="62" t="s">
        <v>1367</v>
      </c>
      <c r="G15" s="11" t="str">
        <f>IFERROR(INDEX('Base Runes'!$G:$G,MATCH($B15,'Base Runes'!$A:$A,0)),"")</f>
        <v>Gush</v>
      </c>
      <c r="H15" s="55"/>
      <c r="I15" s="10"/>
      <c r="J15" s="10"/>
    </row>
    <row r="16" spans="1:10" ht="30" customHeight="1" x14ac:dyDescent="0.25">
      <c r="A16" s="26">
        <v>6</v>
      </c>
      <c r="B16" s="10" t="s">
        <v>124</v>
      </c>
      <c r="C16" s="27" t="str">
        <f>IFERROR(INDEX('Base Runes'!$D:$D,MATCH($B16,'Base Runes'!$A:$A,0)),"")</f>
        <v>Sweep</v>
      </c>
      <c r="D16" s="28" t="str">
        <f>IFERROR(INDEX('Base Runes'!$E:$E,MATCH($B16,'Base Runes'!$A:$A,0)),"")</f>
        <v>ᚪ</v>
      </c>
      <c r="E16" s="10" t="s">
        <v>1191</v>
      </c>
      <c r="F16" s="62" t="s">
        <v>1368</v>
      </c>
      <c r="G16" s="11" t="str">
        <f>IFERROR(INDEX('Base Runes'!$G:$G,MATCH($B16,'Base Runes'!$A:$A,0)),"")</f>
        <v>Settle</v>
      </c>
      <c r="H16" s="55"/>
      <c r="I16" s="10" t="s">
        <v>917</v>
      </c>
      <c r="J16" s="10"/>
    </row>
    <row r="17" spans="1:10" ht="30" customHeight="1" x14ac:dyDescent="0.25">
      <c r="A17" s="26">
        <v>6</v>
      </c>
      <c r="B17" s="10" t="s">
        <v>126</v>
      </c>
      <c r="C17" s="27" t="str">
        <f>IFERROR(INDEX('Base Runes'!$D:$D,MATCH($B17,'Base Runes'!$A:$A,0)),"")</f>
        <v>Settle</v>
      </c>
      <c r="D17" s="28" t="str">
        <f>IFERROR(INDEX('Base Runes'!$E:$E,MATCH($B17,'Base Runes'!$A:$A,0)),"")</f>
        <v>ᚫ</v>
      </c>
      <c r="E17" s="10" t="s">
        <v>1192</v>
      </c>
      <c r="F17" s="62" t="s">
        <v>1369</v>
      </c>
      <c r="G17" s="11" t="str">
        <f>IFERROR(INDEX('Base Runes'!$G:$G,MATCH($B17,'Base Runes'!$A:$A,0)),"")</f>
        <v>Sweep</v>
      </c>
      <c r="H17" s="55"/>
      <c r="I17" s="10"/>
      <c r="J17" s="10"/>
    </row>
    <row r="18" spans="1:10" ht="30" customHeight="1" x14ac:dyDescent="0.25">
      <c r="A18" s="26">
        <v>7</v>
      </c>
      <c r="B18" s="10" t="s">
        <v>130</v>
      </c>
      <c r="C18" s="27" t="str">
        <f>IFERROR(INDEX('Base Runes'!$D:$D,MATCH($B18,'Base Runes'!$A:$A,0)),"")</f>
        <v>Splash</v>
      </c>
      <c r="D18" s="28" t="str">
        <f>IFERROR(INDEX('Base Runes'!$E:$E,MATCH($B18,'Base Runes'!$A:$A,0)),"")</f>
        <v>ᚬ</v>
      </c>
      <c r="E18" s="10" t="s">
        <v>1193</v>
      </c>
      <c r="F18" s="62" t="s">
        <v>1370</v>
      </c>
      <c r="G18" s="11" t="str">
        <f>IFERROR(INDEX('Base Runes'!$G:$G,MATCH($B18,'Base Runes'!$A:$A,0)),"")</f>
        <v>Seep</v>
      </c>
      <c r="H18" s="55"/>
      <c r="I18" s="10" t="s">
        <v>925</v>
      </c>
      <c r="J18" s="10"/>
    </row>
    <row r="19" spans="1:10" ht="30" customHeight="1" x14ac:dyDescent="0.25">
      <c r="A19" s="26">
        <v>7</v>
      </c>
      <c r="B19" s="10" t="s">
        <v>132</v>
      </c>
      <c r="C19" s="27" t="str">
        <f>IFERROR(INDEX('Base Runes'!$D:$D,MATCH($B19,'Base Runes'!$A:$A,0)),"")</f>
        <v>Seep</v>
      </c>
      <c r="D19" s="28" t="str">
        <f>IFERROR(INDEX('Base Runes'!$E:$E,MATCH($B19,'Base Runes'!$A:$A,0)),"")</f>
        <v>ᚭ</v>
      </c>
      <c r="E19" s="10" t="s">
        <v>1194</v>
      </c>
      <c r="F19" s="62" t="s">
        <v>1371</v>
      </c>
      <c r="G19" s="11" t="str">
        <f>IFERROR(INDEX('Base Runes'!$G:$G,MATCH($B19,'Base Runes'!$A:$A,0)),"")</f>
        <v>Splash</v>
      </c>
      <c r="H19" s="55"/>
      <c r="I19" s="10"/>
      <c r="J19" s="10"/>
    </row>
    <row r="20" spans="1:10" ht="30" customHeight="1" x14ac:dyDescent="0.25">
      <c r="A20" s="26">
        <v>8</v>
      </c>
      <c r="B20" s="10" t="s">
        <v>136</v>
      </c>
      <c r="C20" s="27" t="str">
        <f>IFERROR(INDEX('Base Runes'!$D:$D,MATCH($B20,'Base Runes'!$A:$A,0)),"")</f>
        <v>Wave</v>
      </c>
      <c r="D20" s="28" t="str">
        <f>IFERROR(INDEX('Base Runes'!$E:$E,MATCH($B20,'Base Runes'!$A:$A,0)),"")</f>
        <v>ᚮ</v>
      </c>
      <c r="E20" s="10" t="s">
        <v>1195</v>
      </c>
      <c r="F20" s="62" t="s">
        <v>1372</v>
      </c>
      <c r="G20" s="11" t="str">
        <f>IFERROR(INDEX('Base Runes'!$G:$G,MATCH($B20,'Base Runes'!$A:$A,0)),"")</f>
        <v>Slack</v>
      </c>
      <c r="H20" s="55"/>
      <c r="I20" s="10"/>
      <c r="J20" s="10"/>
    </row>
    <row r="21" spans="1:10" ht="30" customHeight="1" x14ac:dyDescent="0.25">
      <c r="A21" s="26">
        <v>8</v>
      </c>
      <c r="B21" s="10" t="s">
        <v>139</v>
      </c>
      <c r="C21" s="27" t="str">
        <f>IFERROR(INDEX('Base Runes'!$D:$D,MATCH($B21,'Base Runes'!$A:$A,0)),"")</f>
        <v>Slack</v>
      </c>
      <c r="D21" s="28" t="str">
        <f>IFERROR(INDEX('Base Runes'!$E:$E,MATCH($B21,'Base Runes'!$A:$A,0)),"")</f>
        <v>ᚯ</v>
      </c>
      <c r="E21" s="10" t="s">
        <v>1196</v>
      </c>
      <c r="F21" s="62" t="s">
        <v>1373</v>
      </c>
      <c r="G21" s="11" t="str">
        <f>IFERROR(INDEX('Base Runes'!$G:$G,MATCH($B21,'Base Runes'!$A:$A,0)),"")</f>
        <v>Wave</v>
      </c>
      <c r="H21" s="55"/>
      <c r="I21" s="10"/>
      <c r="J21" s="10"/>
    </row>
    <row r="23" spans="1:10" x14ac:dyDescent="0.25">
      <c r="A23" s="29" t="s">
        <v>927</v>
      </c>
    </row>
  </sheetData>
  <mergeCells count="2">
    <mergeCell ref="A3:J3"/>
    <mergeCell ref="A2:J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534F"/>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29</v>
      </c>
    </row>
    <row r="2" spans="1:10" x14ac:dyDescent="0.25">
      <c r="A2" s="60" t="s">
        <v>928</v>
      </c>
      <c r="B2" s="59"/>
      <c r="C2" s="59"/>
      <c r="D2" s="59"/>
      <c r="E2" s="59"/>
      <c r="F2" s="59"/>
      <c r="G2" s="59"/>
      <c r="H2" s="59"/>
      <c r="I2" s="59"/>
      <c r="J2" s="59"/>
    </row>
    <row r="3" spans="1:10" ht="30" customHeight="1" x14ac:dyDescent="0.25">
      <c r="A3" s="58" t="s">
        <v>929</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144</v>
      </c>
      <c r="C6" s="27" t="str">
        <f>IFERROR(INDEX('Base Runes'!$D:$D,MATCH($B6,'Base Runes'!$A:$A,0)),"")</f>
        <v>Burn</v>
      </c>
      <c r="D6" s="28" t="str">
        <f>IFERROR(INDEX('Base Runes'!$E:$E,MATCH($B6,'Base Runes'!$A:$A,0)),"")</f>
        <v>ᚰ</v>
      </c>
      <c r="E6" s="10" t="s">
        <v>1197</v>
      </c>
      <c r="F6" s="62" t="s">
        <v>1374</v>
      </c>
      <c r="G6" s="11" t="str">
        <f>IFERROR(INDEX('Base Runes'!$G:$G,MATCH($B6,'Base Runes'!$A:$A,0)),"")</f>
        <v>Quench</v>
      </c>
      <c r="H6" s="55"/>
      <c r="I6" s="10" t="s">
        <v>1198</v>
      </c>
      <c r="J6" s="10"/>
    </row>
    <row r="7" spans="1:10" ht="30" customHeight="1" x14ac:dyDescent="0.25">
      <c r="A7" s="26">
        <v>1</v>
      </c>
      <c r="B7" s="10" t="s">
        <v>147</v>
      </c>
      <c r="C7" s="27" t="str">
        <f>IFERROR(INDEX('Base Runes'!$D:$D,MATCH($B7,'Base Runes'!$A:$A,0)),"")</f>
        <v>Quench</v>
      </c>
      <c r="D7" s="28" t="str">
        <f>IFERROR(INDEX('Base Runes'!$E:$E,MATCH($B7,'Base Runes'!$A:$A,0)),"")</f>
        <v>ᚱ</v>
      </c>
      <c r="E7" s="10" t="s">
        <v>1199</v>
      </c>
      <c r="F7" s="62" t="s">
        <v>1375</v>
      </c>
      <c r="G7" s="11" t="str">
        <f>IFERROR(INDEX('Base Runes'!$G:$G,MATCH($B7,'Base Runes'!$A:$A,0)),"")</f>
        <v>Burn</v>
      </c>
      <c r="H7" s="55"/>
      <c r="I7" s="10"/>
      <c r="J7" s="10"/>
    </row>
    <row r="8" spans="1:10" ht="30" customHeight="1" x14ac:dyDescent="0.25">
      <c r="A8" s="26">
        <v>2</v>
      </c>
      <c r="B8" s="10" t="s">
        <v>152</v>
      </c>
      <c r="C8" s="27" t="str">
        <f>IFERROR(INDEX('Base Runes'!$D:$D,MATCH($B8,'Base Runes'!$A:$A,0)),"")</f>
        <v>Ignite</v>
      </c>
      <c r="D8" s="28" t="str">
        <f>IFERROR(INDEX('Base Runes'!$E:$E,MATCH($B8,'Base Runes'!$A:$A,0)),"")</f>
        <v>ᚲ</v>
      </c>
      <c r="E8" s="10" t="s">
        <v>1200</v>
      </c>
      <c r="F8" s="62" t="s">
        <v>1376</v>
      </c>
      <c r="G8" s="11" t="str">
        <f>IFERROR(INDEX('Base Runes'!$G:$G,MATCH($B8,'Base Runes'!$A:$A,0)),"")</f>
        <v>Snuff</v>
      </c>
      <c r="H8" s="55"/>
      <c r="I8" s="10" t="s">
        <v>930</v>
      </c>
      <c r="J8" s="10"/>
    </row>
    <row r="9" spans="1:10" ht="30" customHeight="1" x14ac:dyDescent="0.25">
      <c r="A9" s="26">
        <v>2</v>
      </c>
      <c r="B9" s="10" t="s">
        <v>155</v>
      </c>
      <c r="C9" s="27" t="str">
        <f>IFERROR(INDEX('Base Runes'!$D:$D,MATCH($B9,'Base Runes'!$A:$A,0)),"")</f>
        <v>Snuff</v>
      </c>
      <c r="D9" s="28" t="str">
        <f>IFERROR(INDEX('Base Runes'!$E:$E,MATCH($B9,'Base Runes'!$A:$A,0)),"")</f>
        <v>ᚳ</v>
      </c>
      <c r="E9" s="10" t="s">
        <v>1201</v>
      </c>
      <c r="F9" s="62" t="s">
        <v>1377</v>
      </c>
      <c r="G9" s="11" t="str">
        <f>IFERROR(INDEX('Base Runes'!$G:$G,MATCH($B9,'Base Runes'!$A:$A,0)),"")</f>
        <v>Ignite</v>
      </c>
      <c r="H9" s="55"/>
      <c r="I9" s="10"/>
      <c r="J9" s="10"/>
    </row>
    <row r="10" spans="1:10" ht="30" customHeight="1" x14ac:dyDescent="0.25">
      <c r="A10" s="26">
        <v>3</v>
      </c>
      <c r="B10" s="10" t="s">
        <v>160</v>
      </c>
      <c r="C10" s="27" t="str">
        <f>IFERROR(INDEX('Base Runes'!$D:$D,MATCH($B10,'Base Runes'!$A:$A,0)),"")</f>
        <v>Explode</v>
      </c>
      <c r="D10" s="28" t="str">
        <f>IFERROR(INDEX('Base Runes'!$E:$E,MATCH($B10,'Base Runes'!$A:$A,0)),"")</f>
        <v>ᚴ</v>
      </c>
      <c r="E10" s="10" t="s">
        <v>932</v>
      </c>
      <c r="F10" s="62" t="s">
        <v>1378</v>
      </c>
      <c r="G10" s="11" t="str">
        <f>IFERROR(INDEX('Base Runes'!$G:$G,MATCH($B10,'Base Runes'!$A:$A,0)),"")</f>
        <v>Implode</v>
      </c>
      <c r="H10" s="55"/>
      <c r="I10" s="10" t="s">
        <v>1202</v>
      </c>
      <c r="J10" s="10"/>
    </row>
    <row r="11" spans="1:10" ht="30" customHeight="1" x14ac:dyDescent="0.25">
      <c r="A11" s="26">
        <v>3</v>
      </c>
      <c r="B11" s="10" t="s">
        <v>162</v>
      </c>
      <c r="C11" s="27" t="str">
        <f>IFERROR(INDEX('Base Runes'!$D:$D,MATCH($B11,'Base Runes'!$A:$A,0)),"")</f>
        <v>Implode</v>
      </c>
      <c r="D11" s="28" t="str">
        <f>IFERROR(INDEX('Base Runes'!$E:$E,MATCH($B11,'Base Runes'!$A:$A,0)),"")</f>
        <v>ᚵ</v>
      </c>
      <c r="E11" s="10" t="s">
        <v>933</v>
      </c>
      <c r="F11" s="62" t="s">
        <v>1379</v>
      </c>
      <c r="G11" s="11" t="str">
        <f>IFERROR(INDEX('Base Runes'!$G:$G,MATCH($B11,'Base Runes'!$A:$A,0)),"")</f>
        <v>Explode</v>
      </c>
      <c r="H11" s="55"/>
      <c r="I11" s="10" t="s">
        <v>934</v>
      </c>
      <c r="J11" s="10"/>
    </row>
    <row r="12" spans="1:10" ht="30" customHeight="1" x14ac:dyDescent="0.25">
      <c r="A12" s="26">
        <v>4</v>
      </c>
      <c r="B12" s="10" t="s">
        <v>167</v>
      </c>
      <c r="C12" s="27" t="str">
        <f>IFERROR(INDEX('Base Runes'!$D:$D,MATCH($B12,'Base Runes'!$A:$A,0)),"")</f>
        <v>Blaze</v>
      </c>
      <c r="D12" s="28" t="str">
        <f>IFERROR(INDEX('Base Runes'!$E:$E,MATCH($B12,'Base Runes'!$A:$A,0)),"")</f>
        <v>ᚶ</v>
      </c>
      <c r="E12" s="10" t="s">
        <v>1203</v>
      </c>
      <c r="F12" s="62" t="s">
        <v>1380</v>
      </c>
      <c r="G12" s="11" t="str">
        <f>IFERROR(INDEX('Base Runes'!$G:$G,MATCH($B12,'Base Runes'!$A:$A,0)),"")</f>
        <v>Smoulder</v>
      </c>
      <c r="H12" s="55"/>
      <c r="I12" s="10" t="s">
        <v>931</v>
      </c>
      <c r="J12" s="10"/>
    </row>
    <row r="13" spans="1:10" ht="30" customHeight="1" x14ac:dyDescent="0.25">
      <c r="A13" s="26">
        <v>4</v>
      </c>
      <c r="B13" s="10" t="s">
        <v>169</v>
      </c>
      <c r="C13" s="27" t="str">
        <f>IFERROR(INDEX('Base Runes'!$D:$D,MATCH($B13,'Base Runes'!$A:$A,0)),"")</f>
        <v>Smoulder</v>
      </c>
      <c r="D13" s="28" t="str">
        <f>IFERROR(INDEX('Base Runes'!$E:$E,MATCH($B13,'Base Runes'!$A:$A,0)),"")</f>
        <v>ᚷ</v>
      </c>
      <c r="E13" s="10" t="s">
        <v>1204</v>
      </c>
      <c r="F13" s="62" t="s">
        <v>1381</v>
      </c>
      <c r="G13" s="11" t="str">
        <f>IFERROR(INDEX('Base Runes'!$G:$G,MATCH($B13,'Base Runes'!$A:$A,0)),"")</f>
        <v>Blaze</v>
      </c>
      <c r="H13" s="55"/>
      <c r="I13" s="10" t="s">
        <v>1205</v>
      </c>
      <c r="J13" s="10"/>
    </row>
    <row r="14" spans="1:10" ht="30" customHeight="1" x14ac:dyDescent="0.25">
      <c r="A14" s="26">
        <v>5</v>
      </c>
      <c r="B14" s="10" t="s">
        <v>174</v>
      </c>
      <c r="C14" s="27" t="str">
        <f>IFERROR(INDEX('Base Runes'!$D:$D,MATCH($B14,'Base Runes'!$A:$A,0)),"")</f>
        <v>Flare</v>
      </c>
      <c r="D14" s="28" t="str">
        <f>IFERROR(INDEX('Base Runes'!$E:$E,MATCH($B14,'Base Runes'!$A:$A,0)),"")</f>
        <v>ᚸ</v>
      </c>
      <c r="E14" s="10" t="s">
        <v>1206</v>
      </c>
      <c r="F14" s="62" t="s">
        <v>1382</v>
      </c>
      <c r="G14" s="11" t="str">
        <f>IFERROR(INDEX('Base Runes'!$G:$G,MATCH($B14,'Base Runes'!$A:$A,0)),"")</f>
        <v>Smother</v>
      </c>
      <c r="H14" s="55"/>
      <c r="I14" s="10"/>
      <c r="J14" s="10"/>
    </row>
    <row r="15" spans="1:10" ht="30" customHeight="1" x14ac:dyDescent="0.25">
      <c r="A15" s="26">
        <v>5</v>
      </c>
      <c r="B15" s="10" t="s">
        <v>177</v>
      </c>
      <c r="C15" s="27" t="str">
        <f>IFERROR(INDEX('Base Runes'!$D:$D,MATCH($B15,'Base Runes'!$A:$A,0)),"")</f>
        <v>Smother</v>
      </c>
      <c r="D15" s="28" t="str">
        <f>IFERROR(INDEX('Base Runes'!$E:$E,MATCH($B15,'Base Runes'!$A:$A,0)),"")</f>
        <v>ᚹ</v>
      </c>
      <c r="E15" s="10" t="s">
        <v>1207</v>
      </c>
      <c r="F15" s="62" t="s">
        <v>1383</v>
      </c>
      <c r="G15" s="11" t="str">
        <f>IFERROR(INDEX('Base Runes'!$G:$G,MATCH($B15,'Base Runes'!$A:$A,0)),"")</f>
        <v>Flare</v>
      </c>
      <c r="H15" s="55"/>
      <c r="I15" s="10"/>
      <c r="J15" s="10"/>
    </row>
    <row r="17" spans="1:1" x14ac:dyDescent="0.25">
      <c r="A17" s="29" t="s">
        <v>927</v>
      </c>
    </row>
  </sheetData>
  <mergeCells count="2">
    <mergeCell ref="A3:J3"/>
    <mergeCell ref="A2:J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B6B3E"/>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32</v>
      </c>
    </row>
    <row r="2" spans="1:10" x14ac:dyDescent="0.25">
      <c r="A2" s="60" t="s">
        <v>935</v>
      </c>
      <c r="B2" s="59"/>
      <c r="C2" s="59"/>
      <c r="D2" s="59"/>
      <c r="E2" s="59"/>
      <c r="F2" s="59"/>
      <c r="G2" s="59"/>
      <c r="H2" s="59"/>
      <c r="I2" s="59"/>
      <c r="J2" s="59"/>
    </row>
    <row r="3" spans="1:10" ht="30" customHeight="1" x14ac:dyDescent="0.25">
      <c r="A3" s="58" t="s">
        <v>929</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181</v>
      </c>
      <c r="C6" s="27" t="str">
        <f>IFERROR(INDEX('Base Runes'!$D:$D,MATCH($B6,'Base Runes'!$A:$A,0)),"")</f>
        <v>Raise</v>
      </c>
      <c r="D6" s="28" t="str">
        <f>IFERROR(INDEX('Base Runes'!$E:$E,MATCH($B6,'Base Runes'!$A:$A,0)),"")</f>
        <v>ᚺ</v>
      </c>
      <c r="E6" s="10" t="s">
        <v>936</v>
      </c>
      <c r="F6" s="62" t="s">
        <v>1384</v>
      </c>
      <c r="G6" s="11" t="str">
        <f>IFERROR(INDEX('Base Runes'!$G:$G,MATCH($B6,'Base Runes'!$A:$A,0)),"")</f>
        <v>Sink</v>
      </c>
      <c r="H6" s="55"/>
      <c r="I6" s="10" t="s">
        <v>937</v>
      </c>
      <c r="J6" s="10"/>
    </row>
    <row r="7" spans="1:10" ht="30" customHeight="1" x14ac:dyDescent="0.25">
      <c r="A7" s="26">
        <v>1</v>
      </c>
      <c r="B7" s="10" t="s">
        <v>184</v>
      </c>
      <c r="C7" s="27" t="str">
        <f>IFERROR(INDEX('Base Runes'!$D:$D,MATCH($B7,'Base Runes'!$A:$A,0)),"")</f>
        <v>Sink</v>
      </c>
      <c r="D7" s="28" t="str">
        <f>IFERROR(INDEX('Base Runes'!$E:$E,MATCH($B7,'Base Runes'!$A:$A,0)),"")</f>
        <v>ᚻ</v>
      </c>
      <c r="E7" s="10" t="s">
        <v>938</v>
      </c>
      <c r="F7" s="62" t="s">
        <v>1369</v>
      </c>
      <c r="G7" s="11" t="str">
        <f>IFERROR(INDEX('Base Runes'!$G:$G,MATCH($B7,'Base Runes'!$A:$A,0)),"")</f>
        <v>Raise</v>
      </c>
      <c r="H7" s="55"/>
      <c r="I7" s="10"/>
      <c r="J7" s="10"/>
    </row>
    <row r="8" spans="1:10" ht="30" customHeight="1" x14ac:dyDescent="0.25">
      <c r="A8" s="26">
        <v>2</v>
      </c>
      <c r="B8" s="10" t="s">
        <v>189</v>
      </c>
      <c r="C8" s="27" t="str">
        <f>IFERROR(INDEX('Base Runes'!$D:$D,MATCH($B8,'Base Runes'!$A:$A,0)),"")</f>
        <v>Harden</v>
      </c>
      <c r="D8" s="28" t="str">
        <f>IFERROR(INDEX('Base Runes'!$E:$E,MATCH($B8,'Base Runes'!$A:$A,0)),"")</f>
        <v>ᚼ</v>
      </c>
      <c r="E8" s="10" t="s">
        <v>939</v>
      </c>
      <c r="F8" s="62" t="s">
        <v>1385</v>
      </c>
      <c r="G8" s="11" t="str">
        <f>IFERROR(INDEX('Base Runes'!$G:$G,MATCH($B8,'Base Runes'!$A:$A,0)),"")</f>
        <v>Crumble</v>
      </c>
      <c r="H8" s="55"/>
      <c r="I8" s="10" t="s">
        <v>940</v>
      </c>
      <c r="J8" s="10"/>
    </row>
    <row r="9" spans="1:10" ht="30" customHeight="1" x14ac:dyDescent="0.25">
      <c r="A9" s="26">
        <v>2</v>
      </c>
      <c r="B9" s="10" t="s">
        <v>192</v>
      </c>
      <c r="C9" s="27" t="str">
        <f>IFERROR(INDEX('Base Runes'!$D:$D,MATCH($B9,'Base Runes'!$A:$A,0)),"")</f>
        <v>Crumble</v>
      </c>
      <c r="D9" s="28" t="str">
        <f>IFERROR(INDEX('Base Runes'!$E:$E,MATCH($B9,'Base Runes'!$A:$A,0)),"")</f>
        <v>ᚽ</v>
      </c>
      <c r="E9" s="10" t="s">
        <v>941</v>
      </c>
      <c r="F9" s="62" t="s">
        <v>1386</v>
      </c>
      <c r="G9" s="11" t="str">
        <f>IFERROR(INDEX('Base Runes'!$G:$G,MATCH($B9,'Base Runes'!$A:$A,0)),"")</f>
        <v>Harden</v>
      </c>
      <c r="H9" s="55"/>
      <c r="I9" s="10" t="s">
        <v>942</v>
      </c>
      <c r="J9" s="10"/>
    </row>
    <row r="10" spans="1:10" ht="30" customHeight="1" x14ac:dyDescent="0.25">
      <c r="A10" s="26">
        <v>3</v>
      </c>
      <c r="B10" s="10" t="s">
        <v>197</v>
      </c>
      <c r="C10" s="27" t="str">
        <f>IFERROR(INDEX('Base Runes'!$D:$D,MATCH($B10,'Base Runes'!$A:$A,0)),"")</f>
        <v>Root</v>
      </c>
      <c r="D10" s="28" t="str">
        <f>IFERROR(INDEX('Base Runes'!$E:$E,MATCH($B10,'Base Runes'!$A:$A,0)),"")</f>
        <v>ᚾ</v>
      </c>
      <c r="E10" s="10" t="s">
        <v>943</v>
      </c>
      <c r="F10" s="62" t="s">
        <v>1387</v>
      </c>
      <c r="G10" s="11" t="str">
        <f>IFERROR(INDEX('Base Runes'!$G:$G,MATCH($B10,'Base Runes'!$A:$A,0)),"")</f>
        <v>Quake</v>
      </c>
      <c r="H10" s="55"/>
      <c r="I10" s="10" t="s">
        <v>944</v>
      </c>
      <c r="J10" s="10"/>
    </row>
    <row r="11" spans="1:10" ht="30" customHeight="1" x14ac:dyDescent="0.25">
      <c r="A11" s="26">
        <v>3</v>
      </c>
      <c r="B11" s="10" t="s">
        <v>200</v>
      </c>
      <c r="C11" s="27" t="str">
        <f>IFERROR(INDEX('Base Runes'!$D:$D,MATCH($B11,'Base Runes'!$A:$A,0)),"")</f>
        <v>Quake</v>
      </c>
      <c r="D11" s="28" t="str">
        <f>IFERROR(INDEX('Base Runes'!$E:$E,MATCH($B11,'Base Runes'!$A:$A,0)),"")</f>
        <v>ᚿ</v>
      </c>
      <c r="E11" s="10" t="s">
        <v>945</v>
      </c>
      <c r="F11" s="62" t="s">
        <v>1372</v>
      </c>
      <c r="G11" s="11" t="str">
        <f>IFERROR(INDEX('Base Runes'!$G:$G,MATCH($B11,'Base Runes'!$A:$A,0)),"")</f>
        <v>Root</v>
      </c>
      <c r="H11" s="55"/>
      <c r="I11" s="10" t="s">
        <v>946</v>
      </c>
      <c r="J11" s="10"/>
    </row>
    <row r="12" spans="1:10" ht="30" customHeight="1" x14ac:dyDescent="0.25">
      <c r="A12" s="26">
        <v>4</v>
      </c>
      <c r="B12" s="10" t="s">
        <v>205</v>
      </c>
      <c r="C12" s="27" t="str">
        <f>IFERROR(INDEX('Base Runes'!$D:$D,MATCH($B12,'Base Runes'!$A:$A,0)),"")</f>
        <v>Dig</v>
      </c>
      <c r="D12" s="28" t="str">
        <f>IFERROR(INDEX('Base Runes'!$E:$E,MATCH($B12,'Base Runes'!$A:$A,0)),"")</f>
        <v>ᛀ</v>
      </c>
      <c r="E12" s="10" t="s">
        <v>1208</v>
      </c>
      <c r="F12" s="62" t="s">
        <v>1388</v>
      </c>
      <c r="G12" s="11" t="str">
        <f>IFERROR(INDEX('Base Runes'!$G:$G,MATCH($B12,'Base Runes'!$A:$A,0)),"")</f>
        <v>Bury</v>
      </c>
      <c r="H12" s="55"/>
      <c r="I12" s="10" t="s">
        <v>1209</v>
      </c>
      <c r="J12" s="10"/>
    </row>
    <row r="13" spans="1:10" ht="30" customHeight="1" x14ac:dyDescent="0.25">
      <c r="A13" s="26">
        <v>4</v>
      </c>
      <c r="B13" s="10" t="s">
        <v>207</v>
      </c>
      <c r="C13" s="27" t="str">
        <f>IFERROR(INDEX('Base Runes'!$D:$D,MATCH($B13,'Base Runes'!$A:$A,0)),"")</f>
        <v>Bury</v>
      </c>
      <c r="D13" s="28" t="str">
        <f>IFERROR(INDEX('Base Runes'!$E:$E,MATCH($B13,'Base Runes'!$A:$A,0)),"")</f>
        <v>ᛁ</v>
      </c>
      <c r="E13" s="10" t="s">
        <v>1210</v>
      </c>
      <c r="F13" s="62" t="s">
        <v>1389</v>
      </c>
      <c r="G13" s="11" t="str">
        <f>IFERROR(INDEX('Base Runes'!$G:$G,MATCH($B13,'Base Runes'!$A:$A,0)),"")</f>
        <v>Dig</v>
      </c>
      <c r="H13" s="55"/>
      <c r="I13" s="10"/>
      <c r="J13" s="10"/>
    </row>
    <row r="14" spans="1:10" ht="30" customHeight="1" x14ac:dyDescent="0.25">
      <c r="A14" s="26">
        <v>5</v>
      </c>
      <c r="B14" s="10" t="s">
        <v>211</v>
      </c>
      <c r="C14" s="27" t="str">
        <f>IFERROR(INDEX('Base Runes'!$D:$D,MATCH($B14,'Base Runes'!$A:$A,0)),"")</f>
        <v>Tunnel</v>
      </c>
      <c r="D14" s="28" t="str">
        <f>IFERROR(INDEX('Base Runes'!$E:$E,MATCH($B14,'Base Runes'!$A:$A,0)),"")</f>
        <v>ᛂ</v>
      </c>
      <c r="E14" s="10" t="s">
        <v>1211</v>
      </c>
      <c r="F14" s="62" t="s">
        <v>1371</v>
      </c>
      <c r="G14" s="11" t="str">
        <f>IFERROR(INDEX('Base Runes'!$G:$G,MATCH($B14,'Base Runes'!$A:$A,0)),"")</f>
        <v>Collapse</v>
      </c>
      <c r="H14" s="55"/>
      <c r="I14" s="10"/>
      <c r="J14" s="10"/>
    </row>
    <row r="15" spans="1:10" ht="30" customHeight="1" x14ac:dyDescent="0.25">
      <c r="A15" s="26">
        <v>5</v>
      </c>
      <c r="B15" s="10" t="s">
        <v>213</v>
      </c>
      <c r="C15" s="27" t="str">
        <f>IFERROR(INDEX('Base Runes'!$D:$D,MATCH($B15,'Base Runes'!$A:$A,0)),"")</f>
        <v>Collapse</v>
      </c>
      <c r="D15" s="28" t="str">
        <f>IFERROR(INDEX('Base Runes'!$E:$E,MATCH($B15,'Base Runes'!$A:$A,0)),"")</f>
        <v>ᛃ</v>
      </c>
      <c r="E15" s="10" t="s">
        <v>1212</v>
      </c>
      <c r="F15" s="62" t="s">
        <v>1390</v>
      </c>
      <c r="G15" s="11" t="str">
        <f>IFERROR(INDEX('Base Runes'!$G:$G,MATCH($B15,'Base Runes'!$A:$A,0)),"")</f>
        <v>Tunnel</v>
      </c>
      <c r="H15" s="55"/>
      <c r="I15" s="10"/>
      <c r="J15" s="10"/>
    </row>
    <row r="17" spans="1:1" x14ac:dyDescent="0.25">
      <c r="A17" s="29" t="s">
        <v>927</v>
      </c>
    </row>
  </sheetData>
  <mergeCells count="2">
    <mergeCell ref="A3:J3"/>
    <mergeCell ref="A2:J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B8A4"/>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34</v>
      </c>
    </row>
    <row r="2" spans="1:10" x14ac:dyDescent="0.25">
      <c r="A2" s="60" t="s">
        <v>947</v>
      </c>
      <c r="B2" s="59"/>
      <c r="C2" s="59"/>
      <c r="D2" s="59"/>
      <c r="E2" s="59"/>
      <c r="F2" s="59"/>
      <c r="G2" s="59"/>
      <c r="H2" s="59"/>
      <c r="I2" s="59"/>
      <c r="J2" s="59"/>
    </row>
    <row r="3" spans="1:10" ht="30" customHeight="1" x14ac:dyDescent="0.25">
      <c r="A3" s="58" t="s">
        <v>929</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217</v>
      </c>
      <c r="C6" s="27" t="str">
        <f>IFERROR(INDEX('Base Runes'!$D:$D,MATCH($B6,'Base Runes'!$A:$A,0)),"")</f>
        <v>Blow</v>
      </c>
      <c r="D6" s="28" t="str">
        <f>IFERROR(INDEX('Base Runes'!$E:$E,MATCH($B6,'Base Runes'!$A:$A,0)),"")</f>
        <v>ᛄ</v>
      </c>
      <c r="E6" s="10" t="s">
        <v>1213</v>
      </c>
      <c r="F6" s="62" t="s">
        <v>1391</v>
      </c>
      <c r="G6" s="11" t="str">
        <f>IFERROR(INDEX('Base Runes'!$G:$G,MATCH($B6,'Base Runes'!$A:$A,0)),"")</f>
        <v>Lull</v>
      </c>
      <c r="H6" s="55"/>
      <c r="I6" s="10" t="s">
        <v>948</v>
      </c>
      <c r="J6" s="10"/>
    </row>
    <row r="7" spans="1:10" ht="30" customHeight="1" x14ac:dyDescent="0.25">
      <c r="A7" s="26">
        <v>1</v>
      </c>
      <c r="B7" s="10" t="s">
        <v>219</v>
      </c>
      <c r="C7" s="27" t="str">
        <f>IFERROR(INDEX('Base Runes'!$D:$D,MATCH($B7,'Base Runes'!$A:$A,0)),"")</f>
        <v>Lull</v>
      </c>
      <c r="D7" s="28" t="str">
        <f>IFERROR(INDEX('Base Runes'!$E:$E,MATCH($B7,'Base Runes'!$A:$A,0)),"")</f>
        <v>ᛅ</v>
      </c>
      <c r="E7" s="10" t="s">
        <v>949</v>
      </c>
      <c r="F7" s="62" t="s">
        <v>1392</v>
      </c>
      <c r="G7" s="11" t="str">
        <f>IFERROR(INDEX('Base Runes'!$G:$G,MATCH($B7,'Base Runes'!$A:$A,0)),"")</f>
        <v>Blow</v>
      </c>
      <c r="H7" s="55"/>
      <c r="I7" s="10"/>
      <c r="J7" s="10"/>
    </row>
    <row r="8" spans="1:10" ht="30" customHeight="1" x14ac:dyDescent="0.25">
      <c r="A8" s="26">
        <v>2</v>
      </c>
      <c r="B8" s="10" t="s">
        <v>224</v>
      </c>
      <c r="C8" s="27" t="str">
        <f>IFERROR(INDEX('Base Runes'!$D:$D,MATCH($B8,'Base Runes'!$A:$A,0)),"")</f>
        <v>Lash</v>
      </c>
      <c r="D8" s="28" t="str">
        <f>IFERROR(INDEX('Base Runes'!$E:$E,MATCH($B8,'Base Runes'!$A:$A,0)),"")</f>
        <v>ᛆ</v>
      </c>
      <c r="E8" s="10" t="s">
        <v>1214</v>
      </c>
      <c r="F8" s="62" t="s">
        <v>1393</v>
      </c>
      <c r="G8" s="11" t="str">
        <f>IFERROR(INDEX('Base Runes'!$G:$G,MATCH($B8,'Base Runes'!$A:$A,0)),"")</f>
        <v>Buffer</v>
      </c>
      <c r="H8" s="55"/>
      <c r="I8" s="10" t="s">
        <v>951</v>
      </c>
      <c r="J8" s="10"/>
    </row>
    <row r="9" spans="1:10" ht="30" customHeight="1" x14ac:dyDescent="0.25">
      <c r="A9" s="26">
        <v>2</v>
      </c>
      <c r="B9" s="10" t="s">
        <v>227</v>
      </c>
      <c r="C9" s="27" t="str">
        <f>IFERROR(INDEX('Base Runes'!$D:$D,MATCH($B9,'Base Runes'!$A:$A,0)),"")</f>
        <v>Buffer</v>
      </c>
      <c r="D9" s="28" t="str">
        <f>IFERROR(INDEX('Base Runes'!$E:$E,MATCH($B9,'Base Runes'!$A:$A,0)),"")</f>
        <v>ᛇ</v>
      </c>
      <c r="E9" s="10" t="s">
        <v>952</v>
      </c>
      <c r="F9" s="62" t="s">
        <v>1394</v>
      </c>
      <c r="G9" s="11" t="str">
        <f>IFERROR(INDEX('Base Runes'!$G:$G,MATCH($B9,'Base Runes'!$A:$A,0)),"")</f>
        <v>Lash</v>
      </c>
      <c r="H9" s="55"/>
      <c r="I9" s="10" t="s">
        <v>953</v>
      </c>
      <c r="J9" s="10"/>
    </row>
    <row r="10" spans="1:10" ht="30" customHeight="1" x14ac:dyDescent="0.25">
      <c r="A10" s="26">
        <v>3</v>
      </c>
      <c r="B10" s="10" t="s">
        <v>232</v>
      </c>
      <c r="C10" s="27" t="str">
        <f>IFERROR(INDEX('Base Runes'!$D:$D,MATCH($B10,'Base Runes'!$A:$A,0)),"")</f>
        <v>Lift</v>
      </c>
      <c r="D10" s="28" t="str">
        <f>IFERROR(INDEX('Base Runes'!$E:$E,MATCH($B10,'Base Runes'!$A:$A,0)),"")</f>
        <v>ᛈ</v>
      </c>
      <c r="E10" s="10" t="s">
        <v>1215</v>
      </c>
      <c r="F10" s="62" t="s">
        <v>1395</v>
      </c>
      <c r="G10" s="11" t="str">
        <f>IFERROR(INDEX('Base Runes'!$G:$G,MATCH($B10,'Base Runes'!$A:$A,0)),"")</f>
        <v>Drop</v>
      </c>
      <c r="H10" s="55"/>
      <c r="I10" s="10" t="s">
        <v>225</v>
      </c>
      <c r="J10" s="10"/>
    </row>
    <row r="11" spans="1:10" ht="30" customHeight="1" x14ac:dyDescent="0.25">
      <c r="A11" s="26">
        <v>3</v>
      </c>
      <c r="B11" s="10" t="s">
        <v>234</v>
      </c>
      <c r="C11" s="27" t="str">
        <f>IFERROR(INDEX('Base Runes'!$D:$D,MATCH($B11,'Base Runes'!$A:$A,0)),"")</f>
        <v>Drop</v>
      </c>
      <c r="D11" s="28" t="str">
        <f>IFERROR(INDEX('Base Runes'!$E:$E,MATCH($B11,'Base Runes'!$A:$A,0)),"")</f>
        <v>ᛉ</v>
      </c>
      <c r="E11" s="10" t="s">
        <v>950</v>
      </c>
      <c r="F11" s="62" t="s">
        <v>1396</v>
      </c>
      <c r="G11" s="11" t="str">
        <f>IFERROR(INDEX('Base Runes'!$G:$G,MATCH($B11,'Base Runes'!$A:$A,0)),"")</f>
        <v>Lift</v>
      </c>
      <c r="H11" s="55"/>
      <c r="I11" s="10" t="s">
        <v>229</v>
      </c>
      <c r="J11" s="10"/>
    </row>
    <row r="12" spans="1:10" ht="30" customHeight="1" x14ac:dyDescent="0.25">
      <c r="A12" s="26">
        <v>4</v>
      </c>
      <c r="B12" s="10" t="s">
        <v>239</v>
      </c>
      <c r="C12" s="27" t="str">
        <f>IFERROR(INDEX('Base Runes'!$D:$D,MATCH($B12,'Base Runes'!$A:$A,0)),"")</f>
        <v>Carry</v>
      </c>
      <c r="D12" s="28" t="str">
        <f>IFERROR(INDEX('Base Runes'!$E:$E,MATCH($B12,'Base Runes'!$A:$A,0)),"")</f>
        <v>ᛊ</v>
      </c>
      <c r="E12" s="10" t="s">
        <v>1216</v>
      </c>
      <c r="F12" s="62" t="s">
        <v>1397</v>
      </c>
      <c r="G12" s="11" t="str">
        <f>IFERROR(INDEX('Base Runes'!$G:$G,MATCH($B12,'Base Runes'!$A:$A,0)),"")</f>
        <v>Stall</v>
      </c>
      <c r="H12" s="55"/>
      <c r="I12" s="10" t="s">
        <v>240</v>
      </c>
      <c r="J12" s="10"/>
    </row>
    <row r="13" spans="1:10" ht="30" customHeight="1" x14ac:dyDescent="0.25">
      <c r="A13" s="26">
        <v>4</v>
      </c>
      <c r="B13" s="10" t="s">
        <v>242</v>
      </c>
      <c r="C13" s="27" t="str">
        <f>IFERROR(INDEX('Base Runes'!$D:$D,MATCH($B13,'Base Runes'!$A:$A,0)),"")</f>
        <v>Stall</v>
      </c>
      <c r="D13" s="28" t="str">
        <f>IFERROR(INDEX('Base Runes'!$E:$E,MATCH($B13,'Base Runes'!$A:$A,0)),"")</f>
        <v>ᛋ</v>
      </c>
      <c r="E13" s="10" t="s">
        <v>1217</v>
      </c>
      <c r="F13" s="62" t="s">
        <v>1398</v>
      </c>
      <c r="G13" s="11" t="str">
        <f>IFERROR(INDEX('Base Runes'!$G:$G,MATCH($B13,'Base Runes'!$A:$A,0)),"")</f>
        <v>Carry</v>
      </c>
      <c r="H13" s="55"/>
      <c r="I13" s="10"/>
      <c r="J13" s="10"/>
    </row>
    <row r="14" spans="1:10" ht="30" customHeight="1" x14ac:dyDescent="0.25">
      <c r="A14" s="26">
        <v>5</v>
      </c>
      <c r="B14" s="10" t="s">
        <v>246</v>
      </c>
      <c r="C14" s="27" t="str">
        <f>IFERROR(INDEX('Base Runes'!$D:$D,MATCH($B14,'Base Runes'!$A:$A,0)),"")</f>
        <v>Whirl</v>
      </c>
      <c r="D14" s="28" t="str">
        <f>IFERROR(INDEX('Base Runes'!$E:$E,MATCH($B14,'Base Runes'!$A:$A,0)),"")</f>
        <v>ᛌ</v>
      </c>
      <c r="E14" s="10" t="s">
        <v>954</v>
      </c>
      <c r="F14" s="62" t="s">
        <v>1399</v>
      </c>
      <c r="G14" s="11" t="str">
        <f>IFERROR(INDEX('Base Runes'!$G:$G,MATCH($B14,'Base Runes'!$A:$A,0)),"")</f>
        <v>Disperse</v>
      </c>
      <c r="H14" s="55"/>
      <c r="I14" s="10"/>
      <c r="J14" s="10"/>
    </row>
    <row r="15" spans="1:10" ht="30" customHeight="1" x14ac:dyDescent="0.25">
      <c r="A15" s="26">
        <v>5</v>
      </c>
      <c r="B15" s="10" t="s">
        <v>249</v>
      </c>
      <c r="C15" s="27" t="str">
        <f>IFERROR(INDEX('Base Runes'!$D:$D,MATCH($B15,'Base Runes'!$A:$A,0)),"")</f>
        <v>Disperse</v>
      </c>
      <c r="D15" s="28" t="str">
        <f>IFERROR(INDEX('Base Runes'!$E:$E,MATCH($B15,'Base Runes'!$A:$A,0)),"")</f>
        <v>ᛍ</v>
      </c>
      <c r="E15" s="10" t="s">
        <v>955</v>
      </c>
      <c r="F15" s="62" t="s">
        <v>1400</v>
      </c>
      <c r="G15" s="11" t="str">
        <f>IFERROR(INDEX('Base Runes'!$G:$G,MATCH($B15,'Base Runes'!$A:$A,0)),"")</f>
        <v>Whirl</v>
      </c>
      <c r="H15" s="55"/>
      <c r="I15" s="10"/>
      <c r="J15" s="10"/>
    </row>
    <row r="17" spans="1:1" x14ac:dyDescent="0.25">
      <c r="A17" s="29" t="s">
        <v>927</v>
      </c>
    </row>
  </sheetData>
  <mergeCells count="2">
    <mergeCell ref="A3:J3"/>
    <mergeCell ref="A2:J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8C547"/>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36</v>
      </c>
    </row>
    <row r="2" spans="1:10" x14ac:dyDescent="0.25">
      <c r="A2" s="60" t="s">
        <v>956</v>
      </c>
      <c r="B2" s="59"/>
      <c r="C2" s="59"/>
      <c r="D2" s="59"/>
      <c r="E2" s="59"/>
      <c r="F2" s="59"/>
      <c r="G2" s="59"/>
      <c r="H2" s="59"/>
      <c r="I2" s="59"/>
      <c r="J2" s="59"/>
    </row>
    <row r="3" spans="1:10" ht="30" customHeight="1" x14ac:dyDescent="0.25">
      <c r="A3" s="58" t="s">
        <v>929</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254</v>
      </c>
      <c r="C6" s="27" t="str">
        <f>IFERROR(INDEX('Base Runes'!$D:$D,MATCH($B6,'Base Runes'!$A:$A,0)),"")</f>
        <v>Strike</v>
      </c>
      <c r="D6" s="28" t="str">
        <f>IFERROR(INDEX('Base Runes'!$E:$E,MATCH($B6,'Base Runes'!$A:$A,0)),"")</f>
        <v>ᛎ</v>
      </c>
      <c r="E6" s="10" t="s">
        <v>1218</v>
      </c>
      <c r="F6" s="62" t="s">
        <v>1401</v>
      </c>
      <c r="G6" s="11" t="str">
        <f>IFERROR(INDEX('Base Runes'!$G:$G,MATCH($B6,'Base Runes'!$A:$A,0)),"")</f>
        <v>Ground</v>
      </c>
      <c r="H6" s="55"/>
      <c r="I6" s="10"/>
      <c r="J6" s="10"/>
    </row>
    <row r="7" spans="1:10" ht="30" customHeight="1" x14ac:dyDescent="0.25">
      <c r="A7" s="26">
        <v>1</v>
      </c>
      <c r="B7" s="10" t="s">
        <v>257</v>
      </c>
      <c r="C7" s="27" t="str">
        <f>IFERROR(INDEX('Base Runes'!$D:$D,MATCH($B7,'Base Runes'!$A:$A,0)),"")</f>
        <v>Ground</v>
      </c>
      <c r="D7" s="28" t="str">
        <f>IFERROR(INDEX('Base Runes'!$E:$E,MATCH($B7,'Base Runes'!$A:$A,0)),"")</f>
        <v>ᛏ</v>
      </c>
      <c r="E7" s="10" t="s">
        <v>1219</v>
      </c>
      <c r="F7" s="62" t="s">
        <v>1373</v>
      </c>
      <c r="G7" s="11" t="str">
        <f>IFERROR(INDEX('Base Runes'!$G:$G,MATCH($B7,'Base Runes'!$A:$A,0)),"")</f>
        <v>Strike</v>
      </c>
      <c r="H7" s="55"/>
      <c r="I7" s="10" t="s">
        <v>962</v>
      </c>
      <c r="J7" s="10"/>
    </row>
    <row r="8" spans="1:10" ht="30" customHeight="1" x14ac:dyDescent="0.25">
      <c r="A8" s="26">
        <v>2</v>
      </c>
      <c r="B8" s="10" t="s">
        <v>262</v>
      </c>
      <c r="C8" s="27" t="str">
        <f>IFERROR(INDEX('Base Runes'!$D:$D,MATCH($B8,'Base Runes'!$A:$A,0)),"")</f>
        <v>Charge</v>
      </c>
      <c r="D8" s="28" t="str">
        <f>IFERROR(INDEX('Base Runes'!$E:$E,MATCH($B8,'Base Runes'!$A:$A,0)),"")</f>
        <v>ᛐ</v>
      </c>
      <c r="E8" s="10" t="s">
        <v>957</v>
      </c>
      <c r="F8" s="62" t="s">
        <v>1402</v>
      </c>
      <c r="G8" s="11" t="str">
        <f>IFERROR(INDEX('Base Runes'!$G:$G,MATCH($B8,'Base Runes'!$A:$A,0)),"")</f>
        <v>Discharge</v>
      </c>
      <c r="H8" s="55"/>
      <c r="I8" s="10" t="s">
        <v>958</v>
      </c>
      <c r="J8" s="10"/>
    </row>
    <row r="9" spans="1:10" ht="30" customHeight="1" x14ac:dyDescent="0.25">
      <c r="A9" s="26">
        <v>2</v>
      </c>
      <c r="B9" s="10" t="s">
        <v>265</v>
      </c>
      <c r="C9" s="27" t="str">
        <f>IFERROR(INDEX('Base Runes'!$D:$D,MATCH($B9,'Base Runes'!$A:$A,0)),"")</f>
        <v>Discharge</v>
      </c>
      <c r="D9" s="28" t="str">
        <f>IFERROR(INDEX('Base Runes'!$E:$E,MATCH($B9,'Base Runes'!$A:$A,0)),"")</f>
        <v>ᛑ</v>
      </c>
      <c r="E9" s="10" t="s">
        <v>1220</v>
      </c>
      <c r="F9" s="62" t="s">
        <v>1403</v>
      </c>
      <c r="G9" s="11" t="str">
        <f>IFERROR(INDEX('Base Runes'!$G:$G,MATCH($B9,'Base Runes'!$A:$A,0)),"")</f>
        <v>Charge</v>
      </c>
      <c r="H9" s="55"/>
      <c r="I9" s="10" t="s">
        <v>1221</v>
      </c>
      <c r="J9" s="10"/>
    </row>
    <row r="10" spans="1:10" ht="30" customHeight="1" x14ac:dyDescent="0.25">
      <c r="A10" s="26">
        <v>3</v>
      </c>
      <c r="B10" s="10" t="s">
        <v>270</v>
      </c>
      <c r="C10" s="27" t="str">
        <f>IFERROR(INDEX('Base Runes'!$D:$D,MATCH($B10,'Base Runes'!$A:$A,0)),"")</f>
        <v>Arc</v>
      </c>
      <c r="D10" s="28" t="str">
        <f>IFERROR(INDEX('Base Runes'!$E:$E,MATCH($B10,'Base Runes'!$A:$A,0)),"")</f>
        <v>ᛒ</v>
      </c>
      <c r="E10" s="10" t="s">
        <v>959</v>
      </c>
      <c r="F10" s="62" t="s">
        <v>1404</v>
      </c>
      <c r="G10" s="11" t="str">
        <f>IFERROR(INDEX('Base Runes'!$G:$G,MATCH($B10,'Base Runes'!$A:$A,0)),"")</f>
        <v>Insulate</v>
      </c>
      <c r="H10" s="55"/>
      <c r="I10" s="10" t="s">
        <v>960</v>
      </c>
      <c r="J10" s="10"/>
    </row>
    <row r="11" spans="1:10" ht="30" customHeight="1" x14ac:dyDescent="0.25">
      <c r="A11" s="26">
        <v>3</v>
      </c>
      <c r="B11" s="10" t="s">
        <v>272</v>
      </c>
      <c r="C11" s="27" t="str">
        <f>IFERROR(INDEX('Base Runes'!$D:$D,MATCH($B11,'Base Runes'!$A:$A,0)),"")</f>
        <v>Insulate</v>
      </c>
      <c r="D11" s="28" t="str">
        <f>IFERROR(INDEX('Base Runes'!$E:$E,MATCH($B11,'Base Runes'!$A:$A,0)),"")</f>
        <v>ᛓ</v>
      </c>
      <c r="E11" s="10" t="s">
        <v>961</v>
      </c>
      <c r="F11" s="62" t="s">
        <v>1405</v>
      </c>
      <c r="G11" s="11" t="str">
        <f>IFERROR(INDEX('Base Runes'!$G:$G,MATCH($B11,'Base Runes'!$A:$A,0)),"")</f>
        <v>Arc</v>
      </c>
      <c r="H11" s="55"/>
      <c r="I11" s="10"/>
      <c r="J11" s="10"/>
    </row>
    <row r="12" spans="1:10" ht="30" customHeight="1" x14ac:dyDescent="0.25">
      <c r="A12" s="26">
        <v>4</v>
      </c>
      <c r="B12" s="10" t="s">
        <v>276</v>
      </c>
      <c r="C12" s="27" t="str">
        <f>IFERROR(INDEX('Base Runes'!$D:$D,MATCH($B12,'Base Runes'!$A:$A,0)),"")</f>
        <v>Quicken</v>
      </c>
      <c r="D12" s="28" t="str">
        <f>IFERROR(INDEX('Base Runes'!$E:$E,MATCH($B12,'Base Runes'!$A:$A,0)),"")</f>
        <v>ᛔ</v>
      </c>
      <c r="E12" s="10" t="s">
        <v>963</v>
      </c>
      <c r="F12" s="62" t="s">
        <v>1406</v>
      </c>
      <c r="G12" s="11" t="str">
        <f>IFERROR(INDEX('Base Runes'!$G:$G,MATCH($B12,'Base Runes'!$A:$A,0)),"")</f>
        <v>Stun</v>
      </c>
      <c r="H12" s="55"/>
      <c r="I12" s="10" t="s">
        <v>964</v>
      </c>
      <c r="J12" s="10"/>
    </row>
    <row r="13" spans="1:10" ht="30" customHeight="1" x14ac:dyDescent="0.25">
      <c r="A13" s="26">
        <v>4</v>
      </c>
      <c r="B13" s="10" t="s">
        <v>279</v>
      </c>
      <c r="C13" s="27" t="str">
        <f>IFERROR(INDEX('Base Runes'!$D:$D,MATCH($B13,'Base Runes'!$A:$A,0)),"")</f>
        <v>Stun</v>
      </c>
      <c r="D13" s="28" t="str">
        <f>IFERROR(INDEX('Base Runes'!$E:$E,MATCH($B13,'Base Runes'!$A:$A,0)),"")</f>
        <v>ᛕ</v>
      </c>
      <c r="E13" s="10" t="s">
        <v>965</v>
      </c>
      <c r="F13" s="62" t="s">
        <v>1407</v>
      </c>
      <c r="G13" s="11" t="str">
        <f>IFERROR(INDEX('Base Runes'!$G:$G,MATCH($B13,'Base Runes'!$A:$A,0)),"")</f>
        <v>Quicken</v>
      </c>
      <c r="H13" s="55"/>
      <c r="I13" s="10"/>
      <c r="J13" s="10"/>
    </row>
    <row r="14" spans="1:10" ht="30" customHeight="1" x14ac:dyDescent="0.25">
      <c r="A14" s="26">
        <v>5</v>
      </c>
      <c r="B14" s="10" t="s">
        <v>283</v>
      </c>
      <c r="C14" s="27" t="str">
        <f>IFERROR(INDEX('Base Runes'!$D:$D,MATCH($B14,'Base Runes'!$A:$A,0)),"")</f>
        <v>Thunder</v>
      </c>
      <c r="D14" s="28" t="str">
        <f>IFERROR(INDEX('Base Runes'!$E:$E,MATCH($B14,'Base Runes'!$A:$A,0)),"")</f>
        <v>ᛖ</v>
      </c>
      <c r="E14" s="10" t="s">
        <v>1222</v>
      </c>
      <c r="F14" s="62" t="s">
        <v>1408</v>
      </c>
      <c r="G14" s="11" t="str">
        <f>IFERROR(INDEX('Base Runes'!$G:$G,MATCH($B14,'Base Runes'!$A:$A,0)),"")</f>
        <v>Silence</v>
      </c>
      <c r="H14" s="55"/>
      <c r="I14" s="10" t="s">
        <v>1223</v>
      </c>
      <c r="J14" s="10"/>
    </row>
    <row r="15" spans="1:10" ht="30" customHeight="1" x14ac:dyDescent="0.25">
      <c r="A15" s="26">
        <v>5</v>
      </c>
      <c r="B15" s="10" t="s">
        <v>285</v>
      </c>
      <c r="C15" s="27" t="str">
        <f>IFERROR(INDEX('Base Runes'!$D:$D,MATCH($B15,'Base Runes'!$A:$A,0)),"")</f>
        <v>Silence</v>
      </c>
      <c r="D15" s="28" t="str">
        <f>IFERROR(INDEX('Base Runes'!$E:$E,MATCH($B15,'Base Runes'!$A:$A,0)),"")</f>
        <v>ᛗ</v>
      </c>
      <c r="E15" s="10" t="s">
        <v>1224</v>
      </c>
      <c r="F15" s="62" t="s">
        <v>1377</v>
      </c>
      <c r="G15" s="11" t="str">
        <f>IFERROR(INDEX('Base Runes'!$G:$G,MATCH($B15,'Base Runes'!$A:$A,0)),"")</f>
        <v>Thunder</v>
      </c>
      <c r="H15" s="55"/>
      <c r="I15" s="10"/>
      <c r="J15" s="10"/>
    </row>
    <row r="17" spans="1:1" x14ac:dyDescent="0.25">
      <c r="A17" s="29" t="s">
        <v>927</v>
      </c>
    </row>
  </sheetData>
  <mergeCells count="2">
    <mergeCell ref="A3:J3"/>
    <mergeCell ref="A2:J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8D8EA"/>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38</v>
      </c>
    </row>
    <row r="2" spans="1:10" x14ac:dyDescent="0.25">
      <c r="A2" s="60" t="s">
        <v>966</v>
      </c>
      <c r="B2" s="59"/>
      <c r="C2" s="59"/>
      <c r="D2" s="59"/>
      <c r="E2" s="59"/>
      <c r="F2" s="59"/>
      <c r="G2" s="59"/>
      <c r="H2" s="59"/>
      <c r="I2" s="59"/>
      <c r="J2" s="59"/>
    </row>
    <row r="3" spans="1:10" ht="30" customHeight="1" x14ac:dyDescent="0.25">
      <c r="A3" s="58" t="s">
        <v>967</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289</v>
      </c>
      <c r="C6" s="27" t="str">
        <f>IFERROR(INDEX('Base Runes'!$D:$D,MATCH($B6,'Base Runes'!$A:$A,0)),"")</f>
        <v>Freeze</v>
      </c>
      <c r="D6" s="30" t="str">
        <f>IFERROR(INDEX('Base Runes'!$E:$E,MATCH($B6,'Base Runes'!$A:$A,0)),"")</f>
        <v>🜀</v>
      </c>
      <c r="E6" s="10" t="s">
        <v>968</v>
      </c>
      <c r="F6" s="55"/>
      <c r="G6" s="11" t="str">
        <f>IFERROR(INDEX('Base Runes'!$G:$G,MATCH($B6,'Base Runes'!$A:$A,0)),"")</f>
        <v>Thaw</v>
      </c>
      <c r="H6" s="55"/>
      <c r="I6" s="10"/>
      <c r="J6" s="10"/>
    </row>
    <row r="7" spans="1:10" ht="30" customHeight="1" x14ac:dyDescent="0.25">
      <c r="A7" s="26">
        <v>1</v>
      </c>
      <c r="B7" s="10" t="s">
        <v>292</v>
      </c>
      <c r="C7" s="27" t="str">
        <f>IFERROR(INDEX('Base Runes'!$D:$D,MATCH($B7,'Base Runes'!$A:$A,0)),"")</f>
        <v>Thaw</v>
      </c>
      <c r="D7" s="30" t="str">
        <f>IFERROR(INDEX('Base Runes'!$E:$E,MATCH($B7,'Base Runes'!$A:$A,0)),"")</f>
        <v>🜁</v>
      </c>
      <c r="E7" s="10" t="s">
        <v>969</v>
      </c>
      <c r="F7" s="55"/>
      <c r="G7" s="11" t="str">
        <f>IFERROR(INDEX('Base Runes'!$G:$G,MATCH($B7,'Base Runes'!$A:$A,0)),"")</f>
        <v>Freeze</v>
      </c>
      <c r="H7" s="55"/>
      <c r="I7" s="10"/>
      <c r="J7" s="10"/>
    </row>
    <row r="8" spans="1:10" ht="30" customHeight="1" x14ac:dyDescent="0.25">
      <c r="A8" s="26">
        <v>2</v>
      </c>
      <c r="B8" s="10" t="s">
        <v>297</v>
      </c>
      <c r="C8" s="27" t="str">
        <f>IFERROR(INDEX('Base Runes'!$D:$D,MATCH($B8,'Base Runes'!$A:$A,0)),"")</f>
        <v>Frost</v>
      </c>
      <c r="D8" s="30" t="str">
        <f>IFERROR(INDEX('Base Runes'!$E:$E,MATCH($B8,'Base Runes'!$A:$A,0)),"")</f>
        <v>🜂</v>
      </c>
      <c r="E8" s="10" t="s">
        <v>971</v>
      </c>
      <c r="F8" s="55"/>
      <c r="G8" s="11" t="str">
        <f>IFERROR(INDEX('Base Runes'!$G:$G,MATCH($B8,'Base Runes'!$A:$A,0)),"")</f>
        <v>Glaze</v>
      </c>
      <c r="H8" s="55"/>
      <c r="I8" s="10"/>
      <c r="J8" s="10"/>
    </row>
    <row r="9" spans="1:10" ht="30" customHeight="1" x14ac:dyDescent="0.25">
      <c r="A9" s="26">
        <v>2</v>
      </c>
      <c r="B9" s="10" t="s">
        <v>300</v>
      </c>
      <c r="C9" s="27" t="str">
        <f>IFERROR(INDEX('Base Runes'!$D:$D,MATCH($B9,'Base Runes'!$A:$A,0)),"")</f>
        <v>Glaze</v>
      </c>
      <c r="D9" s="30" t="str">
        <f>IFERROR(INDEX('Base Runes'!$E:$E,MATCH($B9,'Base Runes'!$A:$A,0)),"")</f>
        <v>🜃</v>
      </c>
      <c r="E9" s="10" t="s">
        <v>1225</v>
      </c>
      <c r="F9" s="55"/>
      <c r="G9" s="11" t="str">
        <f>IFERROR(INDEX('Base Runes'!$G:$G,MATCH($B9,'Base Runes'!$A:$A,0)),"")</f>
        <v>Frost</v>
      </c>
      <c r="H9" s="55"/>
      <c r="I9" s="10"/>
      <c r="J9" s="10"/>
    </row>
    <row r="10" spans="1:10" ht="30" customHeight="1" x14ac:dyDescent="0.25">
      <c r="A10" s="26">
        <v>3</v>
      </c>
      <c r="B10" s="10" t="s">
        <v>305</v>
      </c>
      <c r="C10" s="27" t="str">
        <f>IFERROR(INDEX('Base Runes'!$D:$D,MATCH($B10,'Base Runes'!$A:$A,0)),"")</f>
        <v>Snow</v>
      </c>
      <c r="D10" s="30" t="str">
        <f>IFERROR(INDEX('Base Runes'!$E:$E,MATCH($B10,'Base Runes'!$A:$A,0)),"")</f>
        <v>🜄</v>
      </c>
      <c r="E10" s="10" t="s">
        <v>1226</v>
      </c>
      <c r="F10" s="55"/>
      <c r="G10" s="11" t="str">
        <f>IFERROR(INDEX('Base Runes'!$G:$G,MATCH($B10,'Base Runes'!$A:$A,0)),"")</f>
        <v>Melt</v>
      </c>
      <c r="H10" s="55"/>
      <c r="I10" s="10"/>
      <c r="J10" s="10"/>
    </row>
    <row r="11" spans="1:10" ht="30" customHeight="1" x14ac:dyDescent="0.25">
      <c r="A11" s="26">
        <v>3</v>
      </c>
      <c r="B11" s="10" t="s">
        <v>308</v>
      </c>
      <c r="C11" s="27" t="str">
        <f>IFERROR(INDEX('Base Runes'!$D:$D,MATCH($B11,'Base Runes'!$A:$A,0)),"")</f>
        <v>Melt</v>
      </c>
      <c r="D11" s="30" t="str">
        <f>IFERROR(INDEX('Base Runes'!$E:$E,MATCH($B11,'Base Runes'!$A:$A,0)),"")</f>
        <v>🜅</v>
      </c>
      <c r="E11" s="10" t="s">
        <v>1227</v>
      </c>
      <c r="F11" s="55"/>
      <c r="G11" s="11" t="str">
        <f>IFERROR(INDEX('Base Runes'!$G:$G,MATCH($B11,'Base Runes'!$A:$A,0)),"")</f>
        <v>Snow</v>
      </c>
      <c r="H11" s="55"/>
      <c r="I11" s="10"/>
      <c r="J11" s="10"/>
    </row>
    <row r="12" spans="1:10" ht="30" customHeight="1" x14ac:dyDescent="0.25">
      <c r="A12" s="26">
        <v>4</v>
      </c>
      <c r="B12" s="10" t="s">
        <v>312</v>
      </c>
      <c r="C12" s="27" t="str">
        <f>IFERROR(INDEX('Base Runes'!$D:$D,MATCH($B12,'Base Runes'!$A:$A,0)),"")</f>
        <v>Rime</v>
      </c>
      <c r="D12" s="30" t="str">
        <f>IFERROR(INDEX('Base Runes'!$E:$E,MATCH($B12,'Base Runes'!$A:$A,0)),"")</f>
        <v>🜆</v>
      </c>
      <c r="E12" s="10" t="s">
        <v>1228</v>
      </c>
      <c r="F12" s="55"/>
      <c r="G12" s="11" t="str">
        <f>IFERROR(INDEX('Base Runes'!$G:$G,MATCH($B12,'Base Runes'!$A:$A,0)),"")</f>
        <v>Shatter</v>
      </c>
      <c r="H12" s="55"/>
      <c r="I12" s="10"/>
      <c r="J12" s="10"/>
    </row>
    <row r="13" spans="1:10" ht="30" customHeight="1" x14ac:dyDescent="0.25">
      <c r="A13" s="26">
        <v>4</v>
      </c>
      <c r="B13" s="10" t="s">
        <v>315</v>
      </c>
      <c r="C13" s="27" t="str">
        <f>IFERROR(INDEX('Base Runes'!$D:$D,MATCH($B13,'Base Runes'!$A:$A,0)),"")</f>
        <v>Shatter</v>
      </c>
      <c r="D13" s="30" t="str">
        <f>IFERROR(INDEX('Base Runes'!$E:$E,MATCH($B13,'Base Runes'!$A:$A,0)),"")</f>
        <v>🜇</v>
      </c>
      <c r="E13" s="10" t="s">
        <v>970</v>
      </c>
      <c r="F13" s="55"/>
      <c r="G13" s="11" t="str">
        <f>IFERROR(INDEX('Base Runes'!$G:$G,MATCH($B13,'Base Runes'!$A:$A,0)),"")</f>
        <v>Rime</v>
      </c>
      <c r="H13" s="55"/>
      <c r="I13" s="10"/>
      <c r="J13" s="10"/>
    </row>
    <row r="14" spans="1:10" ht="30" customHeight="1" x14ac:dyDescent="0.25">
      <c r="A14" s="26">
        <v>5</v>
      </c>
      <c r="B14" s="10" t="s">
        <v>320</v>
      </c>
      <c r="C14" s="27" t="str">
        <f>IFERROR(INDEX('Base Runes'!$D:$D,MATCH($B14,'Base Runes'!$A:$A,0)),"")</f>
        <v>Brittle</v>
      </c>
      <c r="D14" s="30" t="str">
        <f>IFERROR(INDEX('Base Runes'!$E:$E,MATCH($B14,'Base Runes'!$A:$A,0)),"")</f>
        <v>🜈</v>
      </c>
      <c r="E14" s="10" t="s">
        <v>972</v>
      </c>
      <c r="F14" s="55"/>
      <c r="G14" s="11" t="str">
        <f>IFERROR(INDEX('Base Runes'!$G:$G,MATCH($B14,'Base Runes'!$A:$A,0)),"")</f>
        <v>Toughen</v>
      </c>
      <c r="H14" s="55"/>
      <c r="I14" s="10"/>
      <c r="J14" s="10"/>
    </row>
    <row r="15" spans="1:10" ht="30" customHeight="1" x14ac:dyDescent="0.25">
      <c r="A15" s="26">
        <v>5</v>
      </c>
      <c r="B15" s="10" t="s">
        <v>322</v>
      </c>
      <c r="C15" s="27" t="str">
        <f>IFERROR(INDEX('Base Runes'!$D:$D,MATCH($B15,'Base Runes'!$A:$A,0)),"")</f>
        <v>Toughen</v>
      </c>
      <c r="D15" s="30" t="str">
        <f>IFERROR(INDEX('Base Runes'!$E:$E,MATCH($B15,'Base Runes'!$A:$A,0)),"")</f>
        <v>🜉</v>
      </c>
      <c r="E15" s="10" t="s">
        <v>973</v>
      </c>
      <c r="F15" s="55"/>
      <c r="G15" s="11" t="str">
        <f>IFERROR(INDEX('Base Runes'!$G:$G,MATCH($B15,'Base Runes'!$A:$A,0)),"")</f>
        <v>Brittle</v>
      </c>
      <c r="H15" s="55"/>
      <c r="I15" s="10"/>
      <c r="J15" s="10"/>
    </row>
    <row r="17" spans="1:1" x14ac:dyDescent="0.25">
      <c r="A17" s="29" t="s">
        <v>927</v>
      </c>
    </row>
  </sheetData>
  <mergeCells count="2">
    <mergeCell ref="A3:J3"/>
    <mergeCell ref="A2:J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B3355"/>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42</v>
      </c>
    </row>
    <row r="2" spans="1:10" x14ac:dyDescent="0.25">
      <c r="A2" s="60" t="s">
        <v>974</v>
      </c>
      <c r="B2" s="59"/>
      <c r="C2" s="59"/>
      <c r="D2" s="59"/>
      <c r="E2" s="59"/>
      <c r="F2" s="59"/>
      <c r="G2" s="59"/>
      <c r="H2" s="59"/>
      <c r="I2" s="59"/>
      <c r="J2" s="59"/>
    </row>
    <row r="3" spans="1:10" ht="30" customHeight="1" x14ac:dyDescent="0.25">
      <c r="A3" s="58" t="s">
        <v>975</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326</v>
      </c>
      <c r="C6" s="27" t="str">
        <f>IFERROR(INDEX('Base Runes'!$D:$D,MATCH($B6,'Base Runes'!$A:$A,0)),"")</f>
        <v>Darken</v>
      </c>
      <c r="D6" s="30" t="str">
        <f>IFERROR(INDEX('Base Runes'!$E:$E,MATCH($B6,'Base Runes'!$A:$A,0)),"")</f>
        <v>🜊</v>
      </c>
      <c r="E6" s="10" t="s">
        <v>976</v>
      </c>
      <c r="F6" s="55"/>
      <c r="G6" s="11" t="str">
        <f>IFERROR(INDEX('Base Runes'!$G:$G,MATCH($B6,'Base Runes'!$A:$A,0)),"")</f>
        <v>Lighten</v>
      </c>
      <c r="H6" s="55"/>
      <c r="I6" s="10"/>
      <c r="J6" s="10"/>
    </row>
    <row r="7" spans="1:10" ht="30" customHeight="1" x14ac:dyDescent="0.25">
      <c r="A7" s="26">
        <v>1</v>
      </c>
      <c r="B7" s="10" t="s">
        <v>328</v>
      </c>
      <c r="C7" s="27" t="str">
        <f>IFERROR(INDEX('Base Runes'!$D:$D,MATCH($B7,'Base Runes'!$A:$A,0)),"")</f>
        <v>Lighten</v>
      </c>
      <c r="D7" s="30" t="str">
        <f>IFERROR(INDEX('Base Runes'!$E:$E,MATCH($B7,'Base Runes'!$A:$A,0)),"")</f>
        <v>🜋</v>
      </c>
      <c r="E7" s="10" t="s">
        <v>977</v>
      </c>
      <c r="F7" s="55"/>
      <c r="G7" s="11" t="str">
        <f>IFERROR(INDEX('Base Runes'!$G:$G,MATCH($B7,'Base Runes'!$A:$A,0)),"")</f>
        <v>Darken</v>
      </c>
      <c r="H7" s="55"/>
      <c r="I7" s="10"/>
      <c r="J7" s="10"/>
    </row>
    <row r="8" spans="1:10" ht="30" customHeight="1" x14ac:dyDescent="0.25">
      <c r="A8" s="26">
        <v>2</v>
      </c>
      <c r="B8" s="10" t="s">
        <v>332</v>
      </c>
      <c r="C8" s="27" t="str">
        <f>IFERROR(INDEX('Base Runes'!$D:$D,MATCH($B8,'Base Runes'!$A:$A,0)),"")</f>
        <v>Obscure</v>
      </c>
      <c r="D8" s="30" t="str">
        <f>IFERROR(INDEX('Base Runes'!$E:$E,MATCH($B8,'Base Runes'!$A:$A,0)),"")</f>
        <v>🜌</v>
      </c>
      <c r="E8" s="10" t="s">
        <v>1229</v>
      </c>
      <c r="F8" s="55"/>
      <c r="G8" s="11" t="str">
        <f>IFERROR(INDEX('Base Runes'!$G:$G,MATCH($B8,'Base Runes'!$A:$A,0)),"")</f>
        <v>Expose</v>
      </c>
      <c r="H8" s="55"/>
      <c r="I8" s="10"/>
      <c r="J8" s="10"/>
    </row>
    <row r="9" spans="1:10" ht="30" customHeight="1" x14ac:dyDescent="0.25">
      <c r="A9" s="26">
        <v>2</v>
      </c>
      <c r="B9" s="10" t="s">
        <v>334</v>
      </c>
      <c r="C9" s="27" t="str">
        <f>IFERROR(INDEX('Base Runes'!$D:$D,MATCH($B9,'Base Runes'!$A:$A,0)),"")</f>
        <v>Expose</v>
      </c>
      <c r="D9" s="30" t="str">
        <f>IFERROR(INDEX('Base Runes'!$E:$E,MATCH($B9,'Base Runes'!$A:$A,0)),"")</f>
        <v>🜍</v>
      </c>
      <c r="E9" s="10" t="s">
        <v>1230</v>
      </c>
      <c r="F9" s="55"/>
      <c r="G9" s="11" t="str">
        <f>IFERROR(INDEX('Base Runes'!$G:$G,MATCH($B9,'Base Runes'!$A:$A,0)),"")</f>
        <v>Obscure</v>
      </c>
      <c r="H9" s="55"/>
      <c r="I9" s="10"/>
      <c r="J9" s="10"/>
    </row>
    <row r="10" spans="1:10" ht="30" customHeight="1" x14ac:dyDescent="0.25">
      <c r="A10" s="26">
        <v>3</v>
      </c>
      <c r="B10" s="10" t="s">
        <v>338</v>
      </c>
      <c r="C10" s="27" t="str">
        <f>IFERROR(INDEX('Base Runes'!$D:$D,MATCH($B10,'Base Runes'!$A:$A,0)),"")</f>
        <v>Shadowstep</v>
      </c>
      <c r="D10" s="30" t="str">
        <f>IFERROR(INDEX('Base Runes'!$E:$E,MATCH($B10,'Base Runes'!$A:$A,0)),"")</f>
        <v>🜎</v>
      </c>
      <c r="E10" s="10" t="s">
        <v>978</v>
      </c>
      <c r="F10" s="55"/>
      <c r="G10" s="11" t="str">
        <f>IFERROR(INDEX('Base Runes'!$G:$G,MATCH($B10,'Base Runes'!$A:$A,0)),"")</f>
        <v>Pin</v>
      </c>
      <c r="H10" s="55"/>
      <c r="I10" s="10"/>
      <c r="J10" s="10"/>
    </row>
    <row r="11" spans="1:10" ht="30" customHeight="1" x14ac:dyDescent="0.25">
      <c r="A11" s="26">
        <v>3</v>
      </c>
      <c r="B11" s="10" t="s">
        <v>341</v>
      </c>
      <c r="C11" s="27" t="str">
        <f>IFERROR(INDEX('Base Runes'!$D:$D,MATCH($B11,'Base Runes'!$A:$A,0)),"")</f>
        <v>Pin</v>
      </c>
      <c r="D11" s="30" t="str">
        <f>IFERROR(INDEX('Base Runes'!$E:$E,MATCH($B11,'Base Runes'!$A:$A,0)),"")</f>
        <v>🜏</v>
      </c>
      <c r="E11" s="10" t="s">
        <v>979</v>
      </c>
      <c r="F11" s="55"/>
      <c r="G11" s="11" t="str">
        <f>IFERROR(INDEX('Base Runes'!$G:$G,MATCH($B11,'Base Runes'!$A:$A,0)),"")</f>
        <v>Shadowstep</v>
      </c>
      <c r="H11" s="55"/>
      <c r="I11" s="10"/>
      <c r="J11" s="10"/>
    </row>
    <row r="12" spans="1:10" ht="30" customHeight="1" x14ac:dyDescent="0.25">
      <c r="A12" s="26">
        <v>4</v>
      </c>
      <c r="B12" s="10" t="s">
        <v>346</v>
      </c>
      <c r="C12" s="27" t="str">
        <f>IFERROR(INDEX('Base Runes'!$D:$D,MATCH($B12,'Base Runes'!$A:$A,0)),"")</f>
        <v>Hush</v>
      </c>
      <c r="D12" s="30" t="str">
        <f>IFERROR(INDEX('Base Runes'!$E:$E,MATCH($B12,'Base Runes'!$A:$A,0)),"")</f>
        <v>🜐</v>
      </c>
      <c r="E12" s="10" t="s">
        <v>1231</v>
      </c>
      <c r="F12" s="55"/>
      <c r="G12" s="11" t="str">
        <f>IFERROR(INDEX('Base Runes'!$G:$G,MATCH($B12,'Base Runes'!$A:$A,0)),"")</f>
        <v>Resound</v>
      </c>
      <c r="H12" s="55"/>
      <c r="I12" s="10"/>
      <c r="J12" s="10"/>
    </row>
    <row r="13" spans="1:10" ht="30" customHeight="1" x14ac:dyDescent="0.25">
      <c r="A13" s="26">
        <v>4</v>
      </c>
      <c r="B13" s="10" t="s">
        <v>349</v>
      </c>
      <c r="C13" s="27" t="str">
        <f>IFERROR(INDEX('Base Runes'!$D:$D,MATCH($B13,'Base Runes'!$A:$A,0)),"")</f>
        <v>Resound</v>
      </c>
      <c r="D13" s="30" t="str">
        <f>IFERROR(INDEX('Base Runes'!$E:$E,MATCH($B13,'Base Runes'!$A:$A,0)),"")</f>
        <v>🜑</v>
      </c>
      <c r="E13" s="10" t="s">
        <v>1232</v>
      </c>
      <c r="F13" s="55"/>
      <c r="G13" s="11" t="str">
        <f>IFERROR(INDEX('Base Runes'!$G:$G,MATCH($B13,'Base Runes'!$A:$A,0)),"")</f>
        <v>Hush</v>
      </c>
      <c r="H13" s="55"/>
      <c r="I13" s="10"/>
      <c r="J13" s="10"/>
    </row>
    <row r="14" spans="1:10" ht="30" customHeight="1" x14ac:dyDescent="0.25">
      <c r="A14" s="26">
        <v>5</v>
      </c>
      <c r="B14" s="10" t="s">
        <v>354</v>
      </c>
      <c r="C14" s="27" t="str">
        <f>IFERROR(INDEX('Base Runes'!$D:$D,MATCH($B14,'Base Runes'!$A:$A,0)),"")</f>
        <v>Devour</v>
      </c>
      <c r="D14" s="30" t="str">
        <f>IFERROR(INDEX('Base Runes'!$E:$E,MATCH($B14,'Base Runes'!$A:$A,0)),"")</f>
        <v>🜒</v>
      </c>
      <c r="E14" s="10" t="s">
        <v>980</v>
      </c>
      <c r="F14" s="55"/>
      <c r="G14" s="11" t="str">
        <f>IFERROR(INDEX('Base Runes'!$G:$G,MATCH($B14,'Base Runes'!$A:$A,0)),"")</f>
        <v>Disgorge</v>
      </c>
      <c r="H14" s="55"/>
      <c r="I14" s="10"/>
      <c r="J14" s="10"/>
    </row>
    <row r="15" spans="1:10" ht="30" customHeight="1" x14ac:dyDescent="0.25">
      <c r="A15" s="26">
        <v>5</v>
      </c>
      <c r="B15" s="10" t="s">
        <v>357</v>
      </c>
      <c r="C15" s="27" t="str">
        <f>IFERROR(INDEX('Base Runes'!$D:$D,MATCH($B15,'Base Runes'!$A:$A,0)),"")</f>
        <v>Disgorge</v>
      </c>
      <c r="D15" s="30" t="str">
        <f>IFERROR(INDEX('Base Runes'!$E:$E,MATCH($B15,'Base Runes'!$A:$A,0)),"")</f>
        <v>🜓</v>
      </c>
      <c r="E15" s="10" t="s">
        <v>981</v>
      </c>
      <c r="F15" s="55"/>
      <c r="G15" s="11" t="str">
        <f>IFERROR(INDEX('Base Runes'!$G:$G,MATCH($B15,'Base Runes'!$A:$A,0)),"")</f>
        <v>Devour</v>
      </c>
      <c r="H15" s="55"/>
      <c r="I15" s="10"/>
      <c r="J15" s="10"/>
    </row>
    <row r="17" spans="1:1" x14ac:dyDescent="0.25">
      <c r="A17" s="29" t="s">
        <v>927</v>
      </c>
    </row>
  </sheetData>
  <mergeCells count="2">
    <mergeCell ref="A3:J3"/>
    <mergeCell ref="A2:J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C9399"/>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45</v>
      </c>
    </row>
    <row r="2" spans="1:10" x14ac:dyDescent="0.25">
      <c r="A2" s="60" t="s">
        <v>982</v>
      </c>
      <c r="B2" s="59"/>
      <c r="C2" s="59"/>
      <c r="D2" s="59"/>
      <c r="E2" s="59"/>
      <c r="F2" s="59"/>
      <c r="G2" s="59"/>
      <c r="H2" s="59"/>
      <c r="I2" s="59"/>
      <c r="J2" s="59"/>
    </row>
    <row r="3" spans="1:10" ht="30" customHeight="1" x14ac:dyDescent="0.25">
      <c r="A3" s="58" t="s">
        <v>983</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362</v>
      </c>
      <c r="C6" s="27" t="str">
        <f>IFERROR(INDEX('Base Runes'!$D:$D,MATCH($B6,'Base Runes'!$A:$A,0)),"")</f>
        <v>Forge</v>
      </c>
      <c r="D6" s="30" t="str">
        <f>IFERROR(INDEX('Base Runes'!$E:$E,MATCH($B6,'Base Runes'!$A:$A,0)),"")</f>
        <v>🜔</v>
      </c>
      <c r="E6" s="10" t="s">
        <v>984</v>
      </c>
      <c r="F6" s="55"/>
      <c r="G6" s="11" t="str">
        <f>IFERROR(INDEX('Base Runes'!$G:$G,MATCH($B6,'Base Runes'!$A:$A,0)),"")</f>
        <v>Rust</v>
      </c>
      <c r="H6" s="55"/>
      <c r="I6" s="10"/>
      <c r="J6" s="10"/>
    </row>
    <row r="7" spans="1:10" ht="30" customHeight="1" x14ac:dyDescent="0.25">
      <c r="A7" s="26">
        <v>1</v>
      </c>
      <c r="B7" s="10" t="s">
        <v>365</v>
      </c>
      <c r="C7" s="27" t="str">
        <f>IFERROR(INDEX('Base Runes'!$D:$D,MATCH($B7,'Base Runes'!$A:$A,0)),"")</f>
        <v>Rust</v>
      </c>
      <c r="D7" s="30" t="str">
        <f>IFERROR(INDEX('Base Runes'!$E:$E,MATCH($B7,'Base Runes'!$A:$A,0)),"")</f>
        <v>🜕</v>
      </c>
      <c r="E7" s="10" t="s">
        <v>985</v>
      </c>
      <c r="F7" s="55"/>
      <c r="G7" s="11" t="str">
        <f>IFERROR(INDEX('Base Runes'!$G:$G,MATCH($B7,'Base Runes'!$A:$A,0)),"")</f>
        <v>Forge</v>
      </c>
      <c r="H7" s="55"/>
      <c r="I7" s="10"/>
      <c r="J7" s="10"/>
    </row>
    <row r="8" spans="1:10" ht="30" customHeight="1" x14ac:dyDescent="0.25">
      <c r="A8" s="26">
        <v>2</v>
      </c>
      <c r="B8" s="10" t="s">
        <v>370</v>
      </c>
      <c r="C8" s="27" t="str">
        <f>IFERROR(INDEX('Base Runes'!$D:$D,MATCH($B8,'Base Runes'!$A:$A,0)),"")</f>
        <v>Fuse</v>
      </c>
      <c r="D8" s="30" t="str">
        <f>IFERROR(INDEX('Base Runes'!$E:$E,MATCH($B8,'Base Runes'!$A:$A,0)),"")</f>
        <v>🜖</v>
      </c>
      <c r="E8" s="10" t="s">
        <v>1233</v>
      </c>
      <c r="F8" s="55"/>
      <c r="G8" s="11" t="str">
        <f>IFERROR(INDEX('Base Runes'!$G:$G,MATCH($B8,'Base Runes'!$A:$A,0)),"")</f>
        <v>Sunder</v>
      </c>
      <c r="H8" s="55"/>
      <c r="I8" s="10"/>
      <c r="J8" s="10"/>
    </row>
    <row r="9" spans="1:10" ht="30" customHeight="1" x14ac:dyDescent="0.25">
      <c r="A9" s="26">
        <v>2</v>
      </c>
      <c r="B9" s="10" t="s">
        <v>372</v>
      </c>
      <c r="C9" s="27" t="str">
        <f>IFERROR(INDEX('Base Runes'!$D:$D,MATCH($B9,'Base Runes'!$A:$A,0)),"")</f>
        <v>Sunder</v>
      </c>
      <c r="D9" s="30" t="str">
        <f>IFERROR(INDEX('Base Runes'!$E:$E,MATCH($B9,'Base Runes'!$A:$A,0)),"")</f>
        <v>🜗</v>
      </c>
      <c r="E9" s="10" t="s">
        <v>1234</v>
      </c>
      <c r="F9" s="55"/>
      <c r="G9" s="11" t="str">
        <f>IFERROR(INDEX('Base Runes'!$G:$G,MATCH($B9,'Base Runes'!$A:$A,0)),"")</f>
        <v>Fuse</v>
      </c>
      <c r="H9" s="55"/>
      <c r="I9" s="10"/>
      <c r="J9" s="10"/>
    </row>
    <row r="10" spans="1:10" ht="30" customHeight="1" x14ac:dyDescent="0.25">
      <c r="A10" s="26">
        <v>3</v>
      </c>
      <c r="B10" s="10" t="s">
        <v>376</v>
      </c>
      <c r="C10" s="27" t="str">
        <f>IFERROR(INDEX('Base Runes'!$D:$D,MATCH($B10,'Base Runes'!$A:$A,0)),"")</f>
        <v>Seal</v>
      </c>
      <c r="D10" s="30" t="str">
        <f>IFERROR(INDEX('Base Runes'!$E:$E,MATCH($B10,'Base Runes'!$A:$A,0)),"")</f>
        <v>🜘</v>
      </c>
      <c r="E10" s="10" t="s">
        <v>1235</v>
      </c>
      <c r="F10" s="55"/>
      <c r="G10" s="11" t="str">
        <f>IFERROR(INDEX('Base Runes'!$G:$G,MATCH($B10,'Base Runes'!$A:$A,0)),"")</f>
        <v>Breach</v>
      </c>
      <c r="H10" s="55"/>
      <c r="I10" s="10"/>
      <c r="J10" s="10"/>
    </row>
    <row r="11" spans="1:10" ht="30" customHeight="1" x14ac:dyDescent="0.25">
      <c r="A11" s="26">
        <v>3</v>
      </c>
      <c r="B11" s="10" t="s">
        <v>379</v>
      </c>
      <c r="C11" s="27" t="str">
        <f>IFERROR(INDEX('Base Runes'!$D:$D,MATCH($B11,'Base Runes'!$A:$A,0)),"")</f>
        <v>Breach</v>
      </c>
      <c r="D11" s="30" t="str">
        <f>IFERROR(INDEX('Base Runes'!$E:$E,MATCH($B11,'Base Runes'!$A:$A,0)),"")</f>
        <v>🜙</v>
      </c>
      <c r="E11" s="10" t="s">
        <v>1236</v>
      </c>
      <c r="F11" s="55"/>
      <c r="G11" s="11" t="str">
        <f>IFERROR(INDEX('Base Runes'!$G:$G,MATCH($B11,'Base Runes'!$A:$A,0)),"")</f>
        <v>Seal</v>
      </c>
      <c r="H11" s="55"/>
      <c r="I11" s="10"/>
      <c r="J11" s="10"/>
    </row>
    <row r="12" spans="1:10" ht="30" customHeight="1" x14ac:dyDescent="0.25">
      <c r="A12" s="26">
        <v>4</v>
      </c>
      <c r="B12" s="10" t="s">
        <v>384</v>
      </c>
      <c r="C12" s="27" t="str">
        <f>IFERROR(INDEX('Base Runes'!$D:$D,MATCH($B12,'Base Runes'!$A:$A,0)),"")</f>
        <v>Hone</v>
      </c>
      <c r="D12" s="30" t="str">
        <f>IFERROR(INDEX('Base Runes'!$E:$E,MATCH($B12,'Base Runes'!$A:$A,0)),"")</f>
        <v>🜚</v>
      </c>
      <c r="E12" s="10" t="s">
        <v>986</v>
      </c>
      <c r="F12" s="55"/>
      <c r="G12" s="11" t="str">
        <f>IFERROR(INDEX('Base Runes'!$G:$G,MATCH($B12,'Base Runes'!$A:$A,0)),"")</f>
        <v>Dull</v>
      </c>
      <c r="H12" s="55"/>
      <c r="I12" s="10"/>
      <c r="J12" s="10"/>
    </row>
    <row r="13" spans="1:10" ht="30" customHeight="1" x14ac:dyDescent="0.25">
      <c r="A13" s="26">
        <v>4</v>
      </c>
      <c r="B13" s="10" t="s">
        <v>387</v>
      </c>
      <c r="C13" s="27" t="str">
        <f>IFERROR(INDEX('Base Runes'!$D:$D,MATCH($B13,'Base Runes'!$A:$A,0)),"")</f>
        <v>Dull</v>
      </c>
      <c r="D13" s="30" t="str">
        <f>IFERROR(INDEX('Base Runes'!$E:$E,MATCH($B13,'Base Runes'!$A:$A,0)),"")</f>
        <v>🜛</v>
      </c>
      <c r="E13" s="10" t="s">
        <v>987</v>
      </c>
      <c r="F13" s="55"/>
      <c r="G13" s="11" t="str">
        <f>IFERROR(INDEX('Base Runes'!$G:$G,MATCH($B13,'Base Runes'!$A:$A,0)),"")</f>
        <v>Hone</v>
      </c>
      <c r="H13" s="55"/>
      <c r="I13" s="10"/>
      <c r="J13" s="10"/>
    </row>
    <row r="14" spans="1:10" ht="30" customHeight="1" x14ac:dyDescent="0.25">
      <c r="A14" s="26">
        <v>5</v>
      </c>
      <c r="B14" s="10" t="s">
        <v>392</v>
      </c>
      <c r="C14" s="27" t="str">
        <f>IFERROR(INDEX('Base Runes'!$D:$D,MATCH($B14,'Base Runes'!$A:$A,0)),"")</f>
        <v>Plate</v>
      </c>
      <c r="D14" s="30" t="str">
        <f>IFERROR(INDEX('Base Runes'!$E:$E,MATCH($B14,'Base Runes'!$A:$A,0)),"")</f>
        <v>🜜</v>
      </c>
      <c r="E14" s="10" t="s">
        <v>988</v>
      </c>
      <c r="F14" s="55"/>
      <c r="G14" s="11" t="str">
        <f>IFERROR(INDEX('Base Runes'!$G:$G,MATCH($B14,'Base Runes'!$A:$A,0)),"")</f>
        <v>Strip</v>
      </c>
      <c r="H14" s="55"/>
      <c r="I14" s="10"/>
      <c r="J14" s="10"/>
    </row>
    <row r="15" spans="1:10" ht="30" customHeight="1" x14ac:dyDescent="0.25">
      <c r="A15" s="26">
        <v>5</v>
      </c>
      <c r="B15" s="10" t="s">
        <v>394</v>
      </c>
      <c r="C15" s="27" t="str">
        <f>IFERROR(INDEX('Base Runes'!$D:$D,MATCH($B15,'Base Runes'!$A:$A,0)),"")</f>
        <v>Strip</v>
      </c>
      <c r="D15" s="30" t="str">
        <f>IFERROR(INDEX('Base Runes'!$E:$E,MATCH($B15,'Base Runes'!$A:$A,0)),"")</f>
        <v>🜝</v>
      </c>
      <c r="E15" s="10" t="s">
        <v>989</v>
      </c>
      <c r="F15" s="55"/>
      <c r="G15" s="11" t="str">
        <f>IFERROR(INDEX('Base Runes'!$G:$G,MATCH($B15,'Base Runes'!$A:$A,0)),"")</f>
        <v>Plate</v>
      </c>
      <c r="H15" s="55"/>
      <c r="I15" s="10"/>
      <c r="J15" s="10"/>
    </row>
    <row r="17" spans="1:1" x14ac:dyDescent="0.25">
      <c r="A17" s="29" t="s">
        <v>927</v>
      </c>
    </row>
  </sheetData>
  <mergeCells count="2">
    <mergeCell ref="A3:J3"/>
    <mergeCell ref="A2:J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B1E2D"/>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48</v>
      </c>
    </row>
    <row r="2" spans="1:10" x14ac:dyDescent="0.25">
      <c r="A2" s="60" t="s">
        <v>990</v>
      </c>
      <c r="B2" s="59"/>
      <c r="C2" s="59"/>
      <c r="D2" s="59"/>
      <c r="E2" s="59"/>
      <c r="F2" s="59"/>
      <c r="G2" s="59"/>
      <c r="H2" s="59"/>
      <c r="I2" s="59"/>
      <c r="J2" s="59"/>
    </row>
    <row r="3" spans="1:10" ht="30" customHeight="1" x14ac:dyDescent="0.25">
      <c r="A3" s="58" t="s">
        <v>991</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398</v>
      </c>
      <c r="C6" s="27" t="str">
        <f>IFERROR(INDEX('Base Runes'!$D:$D,MATCH($B6,'Base Runes'!$A:$A,0)),"")</f>
        <v>Bleed</v>
      </c>
      <c r="D6" s="30" t="str">
        <f>IFERROR(INDEX('Base Runes'!$E:$E,MATCH($B6,'Base Runes'!$A:$A,0)),"")</f>
        <v>🜞</v>
      </c>
      <c r="E6" s="10" t="s">
        <v>992</v>
      </c>
      <c r="F6" s="55"/>
      <c r="G6" s="11" t="str">
        <f>IFERROR(INDEX('Base Runes'!$G:$G,MATCH($B6,'Base Runes'!$A:$A,0)),"")</f>
        <v>Staunch</v>
      </c>
      <c r="H6" s="55"/>
      <c r="I6" s="10"/>
      <c r="J6" s="10"/>
    </row>
    <row r="7" spans="1:10" ht="30" customHeight="1" x14ac:dyDescent="0.25">
      <c r="A7" s="26">
        <v>1</v>
      </c>
      <c r="B7" s="10" t="s">
        <v>401</v>
      </c>
      <c r="C7" s="27" t="str">
        <f>IFERROR(INDEX('Base Runes'!$D:$D,MATCH($B7,'Base Runes'!$A:$A,0)),"")</f>
        <v>Staunch</v>
      </c>
      <c r="D7" s="30" t="str">
        <f>IFERROR(INDEX('Base Runes'!$E:$E,MATCH($B7,'Base Runes'!$A:$A,0)),"")</f>
        <v>🜟</v>
      </c>
      <c r="E7" s="10" t="s">
        <v>993</v>
      </c>
      <c r="F7" s="55"/>
      <c r="G7" s="11" t="str">
        <f>IFERROR(INDEX('Base Runes'!$G:$G,MATCH($B7,'Base Runes'!$A:$A,0)),"")</f>
        <v>Bleed</v>
      </c>
      <c r="H7" s="55"/>
      <c r="I7" s="10"/>
      <c r="J7" s="10"/>
    </row>
    <row r="8" spans="1:10" ht="30" customHeight="1" x14ac:dyDescent="0.25">
      <c r="A8" s="26">
        <v>2</v>
      </c>
      <c r="B8" s="10" t="s">
        <v>406</v>
      </c>
      <c r="C8" s="27" t="str">
        <f>IFERROR(INDEX('Base Runes'!$D:$D,MATCH($B8,'Base Runes'!$A:$A,0)),"")</f>
        <v>Drink</v>
      </c>
      <c r="D8" s="30" t="str">
        <f>IFERROR(INDEX('Base Runes'!$E:$E,MATCH($B8,'Base Runes'!$A:$A,0)),"")</f>
        <v>🜠</v>
      </c>
      <c r="E8" s="10" t="s">
        <v>994</v>
      </c>
      <c r="F8" s="55"/>
      <c r="G8" s="11" t="str">
        <f>IFERROR(INDEX('Base Runes'!$G:$G,MATCH($B8,'Base Runes'!$A:$A,0)),"")</f>
        <v>Spill</v>
      </c>
      <c r="H8" s="55"/>
      <c r="I8" s="10"/>
      <c r="J8" s="10"/>
    </row>
    <row r="9" spans="1:10" ht="30" customHeight="1" x14ac:dyDescent="0.25">
      <c r="A9" s="26">
        <v>2</v>
      </c>
      <c r="B9" s="10" t="s">
        <v>409</v>
      </c>
      <c r="C9" s="27" t="str">
        <f>IFERROR(INDEX('Base Runes'!$D:$D,MATCH($B9,'Base Runes'!$A:$A,0)),"")</f>
        <v>Spill</v>
      </c>
      <c r="D9" s="30" t="str">
        <f>IFERROR(INDEX('Base Runes'!$E:$E,MATCH($B9,'Base Runes'!$A:$A,0)),"")</f>
        <v>🜡</v>
      </c>
      <c r="E9" s="10" t="s">
        <v>995</v>
      </c>
      <c r="F9" s="55"/>
      <c r="G9" s="11" t="str">
        <f>IFERROR(INDEX('Base Runes'!$G:$G,MATCH($B9,'Base Runes'!$A:$A,0)),"")</f>
        <v>Drink</v>
      </c>
      <c r="H9" s="55"/>
      <c r="I9" s="10"/>
      <c r="J9" s="10"/>
    </row>
    <row r="10" spans="1:10" ht="30" customHeight="1" x14ac:dyDescent="0.25">
      <c r="A10" s="26">
        <v>3</v>
      </c>
      <c r="B10" s="10" t="s">
        <v>414</v>
      </c>
      <c r="C10" s="27" t="str">
        <f>IFERROR(INDEX('Base Runes'!$D:$D,MATCH($B10,'Base Runes'!$A:$A,0)),"")</f>
        <v>Clot</v>
      </c>
      <c r="D10" s="30" t="str">
        <f>IFERROR(INDEX('Base Runes'!$E:$E,MATCH($B10,'Base Runes'!$A:$A,0)),"")</f>
        <v>🜢</v>
      </c>
      <c r="E10" s="10" t="s">
        <v>1237</v>
      </c>
      <c r="F10" s="55"/>
      <c r="G10" s="11" t="str">
        <f>IFERROR(INDEX('Base Runes'!$G:$G,MATCH($B10,'Base Runes'!$A:$A,0)),"")</f>
        <v>Thin</v>
      </c>
      <c r="H10" s="55"/>
      <c r="I10" s="10"/>
      <c r="J10" s="10"/>
    </row>
    <row r="11" spans="1:10" ht="30" customHeight="1" x14ac:dyDescent="0.25">
      <c r="A11" s="26">
        <v>3</v>
      </c>
      <c r="B11" s="10" t="s">
        <v>416</v>
      </c>
      <c r="C11" s="27" t="str">
        <f>IFERROR(INDEX('Base Runes'!$D:$D,MATCH($B11,'Base Runes'!$A:$A,0)),"")</f>
        <v>Thin</v>
      </c>
      <c r="D11" s="30" t="str">
        <f>IFERROR(INDEX('Base Runes'!$E:$E,MATCH($B11,'Base Runes'!$A:$A,0)),"")</f>
        <v>🜣</v>
      </c>
      <c r="E11" s="10" t="s">
        <v>1238</v>
      </c>
      <c r="F11" s="55"/>
      <c r="G11" s="11" t="str">
        <f>IFERROR(INDEX('Base Runes'!$G:$G,MATCH($B11,'Base Runes'!$A:$A,0)),"")</f>
        <v>Clot</v>
      </c>
      <c r="H11" s="55"/>
      <c r="I11" s="10"/>
      <c r="J11" s="10"/>
    </row>
    <row r="12" spans="1:10" ht="30" customHeight="1" x14ac:dyDescent="0.25">
      <c r="A12" s="26">
        <v>4</v>
      </c>
      <c r="B12" s="10" t="s">
        <v>421</v>
      </c>
      <c r="C12" s="27" t="str">
        <f>IFERROR(INDEX('Base Runes'!$D:$D,MATCH($B12,'Base Runes'!$A:$A,0)),"")</f>
        <v>Pulse</v>
      </c>
      <c r="D12" s="30" t="str">
        <f>IFERROR(INDEX('Base Runes'!$E:$E,MATCH($B12,'Base Runes'!$A:$A,0)),"")</f>
        <v>🜤</v>
      </c>
      <c r="E12" s="10" t="s">
        <v>996</v>
      </c>
      <c r="F12" s="55"/>
      <c r="G12" s="11" t="str">
        <f>IFERROR(INDEX('Base Runes'!$G:$G,MATCH($B12,'Base Runes'!$A:$A,0)),"")</f>
        <v>Still</v>
      </c>
      <c r="H12" s="55"/>
      <c r="I12" s="10"/>
      <c r="J12" s="10"/>
    </row>
    <row r="13" spans="1:10" ht="30" customHeight="1" x14ac:dyDescent="0.25">
      <c r="A13" s="26">
        <v>4</v>
      </c>
      <c r="B13" s="10" t="s">
        <v>423</v>
      </c>
      <c r="C13" s="27" t="str">
        <f>IFERROR(INDEX('Base Runes'!$D:$D,MATCH($B13,'Base Runes'!$A:$A,0)),"")</f>
        <v>Still</v>
      </c>
      <c r="D13" s="30" t="str">
        <f>IFERROR(INDEX('Base Runes'!$E:$E,MATCH($B13,'Base Runes'!$A:$A,0)),"")</f>
        <v>🜥</v>
      </c>
      <c r="E13" s="10" t="s">
        <v>997</v>
      </c>
      <c r="F13" s="55"/>
      <c r="G13" s="11" t="str">
        <f>IFERROR(INDEX('Base Runes'!$G:$G,MATCH($B13,'Base Runes'!$A:$A,0)),"")</f>
        <v>Pulse</v>
      </c>
      <c r="H13" s="55"/>
      <c r="I13" s="10"/>
      <c r="J13" s="10"/>
    </row>
    <row r="14" spans="1:10" ht="30" customHeight="1" x14ac:dyDescent="0.25">
      <c r="A14" s="26">
        <v>5</v>
      </c>
      <c r="B14" s="10" t="s">
        <v>428</v>
      </c>
      <c r="C14" s="27" t="str">
        <f>IFERROR(INDEX('Base Runes'!$D:$D,MATCH($B14,'Base Runes'!$A:$A,0)),"")</f>
        <v>Choke</v>
      </c>
      <c r="D14" s="30" t="str">
        <f>IFERROR(INDEX('Base Runes'!$E:$E,MATCH($B14,'Base Runes'!$A:$A,0)),"")</f>
        <v>🜦</v>
      </c>
      <c r="E14" s="10" t="s">
        <v>1239</v>
      </c>
      <c r="F14" s="55"/>
      <c r="G14" s="11" t="str">
        <f>IFERROR(INDEX('Base Runes'!$G:$G,MATCH($B14,'Base Runes'!$A:$A,0)),"")</f>
        <v>Breathe</v>
      </c>
      <c r="H14" s="55"/>
      <c r="I14" s="10"/>
      <c r="J14" s="10"/>
    </row>
    <row r="15" spans="1:10" ht="30" customHeight="1" x14ac:dyDescent="0.25">
      <c r="A15" s="26">
        <v>5</v>
      </c>
      <c r="B15" s="10" t="s">
        <v>430</v>
      </c>
      <c r="C15" s="27" t="str">
        <f>IFERROR(INDEX('Base Runes'!$D:$D,MATCH($B15,'Base Runes'!$A:$A,0)),"")</f>
        <v>Breathe</v>
      </c>
      <c r="D15" s="30" t="str">
        <f>IFERROR(INDEX('Base Runes'!$E:$E,MATCH($B15,'Base Runes'!$A:$A,0)),"")</f>
        <v>🜧</v>
      </c>
      <c r="E15" s="10" t="s">
        <v>1240</v>
      </c>
      <c r="F15" s="55"/>
      <c r="G15" s="11" t="str">
        <f>IFERROR(INDEX('Base Runes'!$G:$G,MATCH($B15,'Base Runes'!$A:$A,0)),"")</f>
        <v>Choke</v>
      </c>
      <c r="H15" s="55"/>
      <c r="I15" s="10"/>
      <c r="J15" s="10"/>
    </row>
    <row r="17" spans="1:1" x14ac:dyDescent="0.25">
      <c r="A17" s="29" t="s">
        <v>927</v>
      </c>
    </row>
  </sheetData>
  <mergeCells count="2">
    <mergeCell ref="A3:J3"/>
    <mergeCell ref="A2:J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BBF59"/>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51</v>
      </c>
    </row>
    <row r="2" spans="1:10" x14ac:dyDescent="0.25">
      <c r="A2" s="60" t="s">
        <v>998</v>
      </c>
      <c r="B2" s="59"/>
      <c r="C2" s="59"/>
      <c r="D2" s="59"/>
      <c r="E2" s="59"/>
      <c r="F2" s="59"/>
      <c r="G2" s="59"/>
      <c r="H2" s="59"/>
      <c r="I2" s="59"/>
      <c r="J2" s="59"/>
    </row>
    <row r="3" spans="1:10" ht="30" customHeight="1" x14ac:dyDescent="0.25">
      <c r="A3" s="58" t="s">
        <v>999</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434</v>
      </c>
      <c r="C6" s="27" t="str">
        <f>IFERROR(INDEX('Base Runes'!$D:$D,MATCH($B6,'Base Runes'!$A:$A,0)),"")</f>
        <v>Heal</v>
      </c>
      <c r="D6" s="30" t="str">
        <f>IFERROR(INDEX('Base Runes'!$E:$E,MATCH($B6,'Base Runes'!$A:$A,0)),"")</f>
        <v>🜨</v>
      </c>
      <c r="E6" s="10" t="s">
        <v>1241</v>
      </c>
      <c r="F6" s="55"/>
      <c r="G6" s="11" t="str">
        <f>IFERROR(INDEX('Base Runes'!$G:$G,MATCH($B6,'Base Runes'!$A:$A,0)),"")</f>
        <v>Wither</v>
      </c>
      <c r="H6" s="55"/>
      <c r="I6" s="10"/>
      <c r="J6" s="10"/>
    </row>
    <row r="7" spans="1:10" ht="30" customHeight="1" x14ac:dyDescent="0.25">
      <c r="A7" s="26">
        <v>1</v>
      </c>
      <c r="B7" s="10" t="s">
        <v>436</v>
      </c>
      <c r="C7" s="27" t="str">
        <f>IFERROR(INDEX('Base Runes'!$D:$D,MATCH($B7,'Base Runes'!$A:$A,0)),"")</f>
        <v>Wither</v>
      </c>
      <c r="D7" s="30" t="str">
        <f>IFERROR(INDEX('Base Runes'!$E:$E,MATCH($B7,'Base Runes'!$A:$A,0)),"")</f>
        <v>🜩</v>
      </c>
      <c r="E7" s="10" t="s">
        <v>1000</v>
      </c>
      <c r="F7" s="55"/>
      <c r="G7" s="11" t="str">
        <f>IFERROR(INDEX('Base Runes'!$G:$G,MATCH($B7,'Base Runes'!$A:$A,0)),"")</f>
        <v>Heal</v>
      </c>
      <c r="H7" s="55"/>
      <c r="I7" s="10"/>
      <c r="J7" s="10"/>
    </row>
    <row r="8" spans="1:10" ht="30" customHeight="1" x14ac:dyDescent="0.25">
      <c r="A8" s="26">
        <v>2</v>
      </c>
      <c r="B8" s="10" t="s">
        <v>441</v>
      </c>
      <c r="C8" s="27" t="str">
        <f>IFERROR(INDEX('Base Runes'!$D:$D,MATCH($B8,'Base Runes'!$A:$A,0)),"")</f>
        <v>Renew</v>
      </c>
      <c r="D8" s="30" t="str">
        <f>IFERROR(INDEX('Base Runes'!$E:$E,MATCH($B8,'Base Runes'!$A:$A,0)),"")</f>
        <v>🜪</v>
      </c>
      <c r="E8" s="10" t="s">
        <v>1242</v>
      </c>
      <c r="F8" s="55"/>
      <c r="G8" s="11" t="str">
        <f>IFERROR(INDEX('Base Runes'!$G:$G,MATCH($B8,'Base Runes'!$A:$A,0)),"")</f>
        <v>Exhaust</v>
      </c>
      <c r="H8" s="55"/>
      <c r="I8" s="10"/>
      <c r="J8" s="10"/>
    </row>
    <row r="9" spans="1:10" ht="30" customHeight="1" x14ac:dyDescent="0.25">
      <c r="A9" s="26">
        <v>2</v>
      </c>
      <c r="B9" s="10" t="s">
        <v>443</v>
      </c>
      <c r="C9" s="27" t="str">
        <f>IFERROR(INDEX('Base Runes'!$D:$D,MATCH($B9,'Base Runes'!$A:$A,0)),"")</f>
        <v>Exhaust</v>
      </c>
      <c r="D9" s="30" t="str">
        <f>IFERROR(INDEX('Base Runes'!$E:$E,MATCH($B9,'Base Runes'!$A:$A,0)),"")</f>
        <v>🜫</v>
      </c>
      <c r="E9" s="10" t="s">
        <v>1243</v>
      </c>
      <c r="F9" s="55"/>
      <c r="G9" s="11" t="str">
        <f>IFERROR(INDEX('Base Runes'!$G:$G,MATCH($B9,'Base Runes'!$A:$A,0)),"")</f>
        <v>Renew</v>
      </c>
      <c r="H9" s="55"/>
      <c r="I9" s="10"/>
      <c r="J9" s="10"/>
    </row>
    <row r="10" spans="1:10" ht="30" customHeight="1" x14ac:dyDescent="0.25">
      <c r="A10" s="26">
        <v>3</v>
      </c>
      <c r="B10" s="10" t="s">
        <v>447</v>
      </c>
      <c r="C10" s="27" t="str">
        <f>IFERROR(INDEX('Base Runes'!$D:$D,MATCH($B10,'Base Runes'!$A:$A,0)),"")</f>
        <v>Strengthen</v>
      </c>
      <c r="D10" s="30" t="str">
        <f>IFERROR(INDEX('Base Runes'!$E:$E,MATCH($B10,'Base Runes'!$A:$A,0)),"")</f>
        <v>🜬</v>
      </c>
      <c r="E10" s="10" t="s">
        <v>1001</v>
      </c>
      <c r="F10" s="55"/>
      <c r="G10" s="11" t="str">
        <f>IFERROR(INDEX('Base Runes'!$G:$G,MATCH($B10,'Base Runes'!$A:$A,0)),"")</f>
        <v>Weaken</v>
      </c>
      <c r="H10" s="55"/>
      <c r="I10" s="10"/>
      <c r="J10" s="10"/>
    </row>
    <row r="11" spans="1:10" ht="30" customHeight="1" x14ac:dyDescent="0.25">
      <c r="A11" s="26">
        <v>3</v>
      </c>
      <c r="B11" s="10" t="s">
        <v>449</v>
      </c>
      <c r="C11" s="27" t="str">
        <f>IFERROR(INDEX('Base Runes'!$D:$D,MATCH($B11,'Base Runes'!$A:$A,0)),"")</f>
        <v>Weaken</v>
      </c>
      <c r="D11" s="30" t="str">
        <f>IFERROR(INDEX('Base Runes'!$E:$E,MATCH($B11,'Base Runes'!$A:$A,0)),"")</f>
        <v>🜭</v>
      </c>
      <c r="E11" s="10" t="s">
        <v>1244</v>
      </c>
      <c r="F11" s="55"/>
      <c r="G11" s="11" t="str">
        <f>IFERROR(INDEX('Base Runes'!$G:$G,MATCH($B11,'Base Runes'!$A:$A,0)),"")</f>
        <v>Strengthen</v>
      </c>
      <c r="H11" s="55"/>
      <c r="I11" s="10"/>
      <c r="J11" s="10"/>
    </row>
    <row r="12" spans="1:10" ht="30" customHeight="1" x14ac:dyDescent="0.25">
      <c r="A12" s="26">
        <v>4</v>
      </c>
      <c r="B12" s="10" t="s">
        <v>454</v>
      </c>
      <c r="C12" s="27" t="str">
        <f>IFERROR(INDEX('Base Runes'!$D:$D,MATCH($B12,'Base Runes'!$A:$A,0)),"")</f>
        <v>Cure</v>
      </c>
      <c r="D12" s="30" t="str">
        <f>IFERROR(INDEX('Base Runes'!$E:$E,MATCH($B12,'Base Runes'!$A:$A,0)),"")</f>
        <v>🜮</v>
      </c>
      <c r="E12" s="10" t="s">
        <v>1245</v>
      </c>
      <c r="F12" s="55"/>
      <c r="G12" s="11" t="str">
        <f>IFERROR(INDEX('Base Runes'!$G:$G,MATCH($B12,'Base Runes'!$A:$A,0)),"")</f>
        <v>Sicken</v>
      </c>
      <c r="H12" s="55"/>
      <c r="I12" s="10"/>
      <c r="J12" s="10"/>
    </row>
    <row r="13" spans="1:10" ht="30" customHeight="1" x14ac:dyDescent="0.25">
      <c r="A13" s="26">
        <v>4</v>
      </c>
      <c r="B13" s="10" t="s">
        <v>457</v>
      </c>
      <c r="C13" s="27" t="str">
        <f>IFERROR(INDEX('Base Runes'!$D:$D,MATCH($B13,'Base Runes'!$A:$A,0)),"")</f>
        <v>Sicken</v>
      </c>
      <c r="D13" s="30" t="str">
        <f>IFERROR(INDEX('Base Runes'!$E:$E,MATCH($B13,'Base Runes'!$A:$A,0)),"")</f>
        <v>🜯</v>
      </c>
      <c r="E13" s="10" t="s">
        <v>1246</v>
      </c>
      <c r="F13" s="55"/>
      <c r="G13" s="11" t="str">
        <f>IFERROR(INDEX('Base Runes'!$G:$G,MATCH($B13,'Base Runes'!$A:$A,0)),"")</f>
        <v>Cure</v>
      </c>
      <c r="H13" s="55"/>
      <c r="I13" s="10"/>
      <c r="J13" s="10"/>
    </row>
    <row r="14" spans="1:10" ht="30" customHeight="1" x14ac:dyDescent="0.25">
      <c r="A14" s="26">
        <v>5</v>
      </c>
      <c r="B14" s="10" t="s">
        <v>462</v>
      </c>
      <c r="C14" s="27" t="str">
        <f>IFERROR(INDEX('Base Runes'!$D:$D,MATCH($B14,'Base Runes'!$A:$A,0)),"")</f>
        <v>Regrow</v>
      </c>
      <c r="D14" s="30" t="str">
        <f>IFERROR(INDEX('Base Runes'!$E:$E,MATCH($B14,'Base Runes'!$A:$A,0)),"")</f>
        <v>🜰</v>
      </c>
      <c r="E14" s="10" t="s">
        <v>1002</v>
      </c>
      <c r="F14" s="55"/>
      <c r="G14" s="11" t="str">
        <f>IFERROR(INDEX('Base Runes'!$G:$G,MATCH($B14,'Base Runes'!$A:$A,0)),"")</f>
        <v>Arrest</v>
      </c>
      <c r="H14" s="55"/>
      <c r="I14" s="10"/>
      <c r="J14" s="10"/>
    </row>
    <row r="15" spans="1:10" ht="30" customHeight="1" x14ac:dyDescent="0.25">
      <c r="A15" s="26">
        <v>5</v>
      </c>
      <c r="B15" s="10" t="s">
        <v>464</v>
      </c>
      <c r="C15" s="27" t="str">
        <f>IFERROR(INDEX('Base Runes'!$D:$D,MATCH($B15,'Base Runes'!$A:$A,0)),"")</f>
        <v>Arrest</v>
      </c>
      <c r="D15" s="30" t="str">
        <f>IFERROR(INDEX('Base Runes'!$E:$E,MATCH($B15,'Base Runes'!$A:$A,0)),"")</f>
        <v>🜱</v>
      </c>
      <c r="E15" s="10" t="s">
        <v>1003</v>
      </c>
      <c r="F15" s="55"/>
      <c r="G15" s="11" t="str">
        <f>IFERROR(INDEX('Base Runes'!$G:$G,MATCH($B15,'Base Runes'!$A:$A,0)),"")</f>
        <v>Regrow</v>
      </c>
      <c r="H15" s="55"/>
      <c r="I15" s="10"/>
      <c r="J15" s="10"/>
    </row>
    <row r="17" spans="1:1" x14ac:dyDescent="0.25">
      <c r="A17" s="29" t="s">
        <v>927</v>
      </c>
    </row>
  </sheetData>
  <mergeCells count="2">
    <mergeCell ref="A3:J3"/>
    <mergeCell ref="A2:J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4A4A4A"/>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54</v>
      </c>
    </row>
    <row r="2" spans="1:10" x14ac:dyDescent="0.25">
      <c r="A2" s="60" t="s">
        <v>1004</v>
      </c>
      <c r="B2" s="59"/>
      <c r="C2" s="59"/>
      <c r="D2" s="59"/>
      <c r="E2" s="59"/>
      <c r="F2" s="59"/>
      <c r="G2" s="59"/>
      <c r="H2" s="59"/>
      <c r="I2" s="59"/>
      <c r="J2" s="59"/>
    </row>
    <row r="3" spans="1:10" ht="30" customHeight="1" x14ac:dyDescent="0.25">
      <c r="A3" s="58" t="s">
        <v>1005</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468</v>
      </c>
      <c r="C6" s="27" t="str">
        <f>IFERROR(INDEX('Base Runes'!$D:$D,MATCH($B6,'Base Runes'!$A:$A,0)),"")</f>
        <v>Kill</v>
      </c>
      <c r="D6" s="30" t="str">
        <f>IFERROR(INDEX('Base Runes'!$E:$E,MATCH($B6,'Base Runes'!$A:$A,0)),"")</f>
        <v>🜲</v>
      </c>
      <c r="E6" s="10" t="s">
        <v>1006</v>
      </c>
      <c r="F6" s="55"/>
      <c r="G6" s="11" t="str">
        <f>IFERROR(INDEX('Base Runes'!$G:$G,MATCH($B6,'Base Runes'!$A:$A,0)),"")</f>
        <v>Spare</v>
      </c>
      <c r="H6" s="55"/>
      <c r="I6" s="10"/>
      <c r="J6" s="10"/>
    </row>
    <row r="7" spans="1:10" ht="30" customHeight="1" x14ac:dyDescent="0.25">
      <c r="A7" s="26">
        <v>1</v>
      </c>
      <c r="B7" s="10" t="s">
        <v>470</v>
      </c>
      <c r="C7" s="27" t="str">
        <f>IFERROR(INDEX('Base Runes'!$D:$D,MATCH($B7,'Base Runes'!$A:$A,0)),"")</f>
        <v>Spare</v>
      </c>
      <c r="D7" s="30" t="str">
        <f>IFERROR(INDEX('Base Runes'!$E:$E,MATCH($B7,'Base Runes'!$A:$A,0)),"")</f>
        <v>🜳</v>
      </c>
      <c r="E7" s="10" t="s">
        <v>1007</v>
      </c>
      <c r="F7" s="55"/>
      <c r="G7" s="11" t="str">
        <f>IFERROR(INDEX('Base Runes'!$G:$G,MATCH($B7,'Base Runes'!$A:$A,0)),"")</f>
        <v>Kill</v>
      </c>
      <c r="H7" s="55"/>
      <c r="I7" s="10"/>
      <c r="J7" s="10"/>
    </row>
    <row r="8" spans="1:10" ht="30" customHeight="1" x14ac:dyDescent="0.25">
      <c r="A8" s="26">
        <v>2</v>
      </c>
      <c r="B8" s="10" t="s">
        <v>475</v>
      </c>
      <c r="C8" s="27" t="str">
        <f>IFERROR(INDEX('Base Runes'!$D:$D,MATCH($B8,'Base Runes'!$A:$A,0)),"")</f>
        <v>Animate</v>
      </c>
      <c r="D8" s="30" t="str">
        <f>IFERROR(INDEX('Base Runes'!$E:$E,MATCH($B8,'Base Runes'!$A:$A,0)),"")</f>
        <v>🜴</v>
      </c>
      <c r="E8" s="10" t="s">
        <v>1008</v>
      </c>
      <c r="F8" s="55"/>
      <c r="G8" s="11" t="str">
        <f>IFERROR(INDEX('Base Runes'!$G:$G,MATCH($B8,'Base Runes'!$A:$A,0)),"")</f>
        <v>Lay</v>
      </c>
      <c r="H8" s="55"/>
      <c r="I8" s="10"/>
      <c r="J8" s="10"/>
    </row>
    <row r="9" spans="1:10" ht="30" customHeight="1" x14ac:dyDescent="0.25">
      <c r="A9" s="26">
        <v>2</v>
      </c>
      <c r="B9" s="10" t="s">
        <v>477</v>
      </c>
      <c r="C9" s="27" t="str">
        <f>IFERROR(INDEX('Base Runes'!$D:$D,MATCH($B9,'Base Runes'!$A:$A,0)),"")</f>
        <v>Lay</v>
      </c>
      <c r="D9" s="30" t="str">
        <f>IFERROR(INDEX('Base Runes'!$E:$E,MATCH($B9,'Base Runes'!$A:$A,0)),"")</f>
        <v>🜵</v>
      </c>
      <c r="E9" s="10" t="s">
        <v>1009</v>
      </c>
      <c r="F9" s="55"/>
      <c r="G9" s="11" t="str">
        <f>IFERROR(INDEX('Base Runes'!$G:$G,MATCH($B9,'Base Runes'!$A:$A,0)),"")</f>
        <v>Animate</v>
      </c>
      <c r="H9" s="55"/>
      <c r="I9" s="10"/>
      <c r="J9" s="10"/>
    </row>
    <row r="10" spans="1:10" ht="30" customHeight="1" x14ac:dyDescent="0.25">
      <c r="A10" s="26">
        <v>3</v>
      </c>
      <c r="B10" s="10" t="s">
        <v>482</v>
      </c>
      <c r="C10" s="27" t="str">
        <f>IFERROR(INDEX('Base Runes'!$D:$D,MATCH($B10,'Base Runes'!$A:$A,0)),"")</f>
        <v>Rot</v>
      </c>
      <c r="D10" s="30" t="str">
        <f>IFERROR(INDEX('Base Runes'!$E:$E,MATCH($B10,'Base Runes'!$A:$A,0)),"")</f>
        <v>🜶</v>
      </c>
      <c r="E10" s="10" t="s">
        <v>1010</v>
      </c>
      <c r="F10" s="55"/>
      <c r="G10" s="11" t="str">
        <f>IFERROR(INDEX('Base Runes'!$G:$G,MATCH($B10,'Base Runes'!$A:$A,0)),"")</f>
        <v>Preserve</v>
      </c>
      <c r="H10" s="55"/>
      <c r="I10" s="10"/>
      <c r="J10" s="10"/>
    </row>
    <row r="11" spans="1:10" ht="30" customHeight="1" x14ac:dyDescent="0.25">
      <c r="A11" s="26">
        <v>3</v>
      </c>
      <c r="B11" s="10" t="s">
        <v>485</v>
      </c>
      <c r="C11" s="27" t="str">
        <f>IFERROR(INDEX('Base Runes'!$D:$D,MATCH($B11,'Base Runes'!$A:$A,0)),"")</f>
        <v>Preserve</v>
      </c>
      <c r="D11" s="30" t="str">
        <f>IFERROR(INDEX('Base Runes'!$E:$E,MATCH($B11,'Base Runes'!$A:$A,0)),"")</f>
        <v>🜷</v>
      </c>
      <c r="E11" s="10" t="s">
        <v>1011</v>
      </c>
      <c r="F11" s="55"/>
      <c r="G11" s="11" t="str">
        <f>IFERROR(INDEX('Base Runes'!$G:$G,MATCH($B11,'Base Runes'!$A:$A,0)),"")</f>
        <v>Rot</v>
      </c>
      <c r="H11" s="55"/>
      <c r="I11" s="10"/>
      <c r="J11" s="10"/>
    </row>
    <row r="12" spans="1:10" ht="30" customHeight="1" x14ac:dyDescent="0.25">
      <c r="A12" s="26">
        <v>4</v>
      </c>
      <c r="B12" s="10" t="s">
        <v>490</v>
      </c>
      <c r="C12" s="27" t="str">
        <f>IFERROR(INDEX('Base Runes'!$D:$D,MATCH($B12,'Base Runes'!$A:$A,0)),"")</f>
        <v>Haunt</v>
      </c>
      <c r="D12" s="30" t="str">
        <f>IFERROR(INDEX('Base Runes'!$E:$E,MATCH($B12,'Base Runes'!$A:$A,0)),"")</f>
        <v>🜸</v>
      </c>
      <c r="E12" s="10" t="s">
        <v>1012</v>
      </c>
      <c r="F12" s="55"/>
      <c r="G12" s="11" t="str">
        <f>IFERROR(INDEX('Base Runes'!$G:$G,MATCH($B12,'Base Runes'!$A:$A,0)),"")</f>
        <v>Exorcise</v>
      </c>
      <c r="H12" s="55"/>
      <c r="I12" s="10"/>
      <c r="J12" s="10"/>
    </row>
    <row r="13" spans="1:10" ht="30" customHeight="1" x14ac:dyDescent="0.25">
      <c r="A13" s="26">
        <v>4</v>
      </c>
      <c r="B13" s="10" t="s">
        <v>493</v>
      </c>
      <c r="C13" s="27" t="str">
        <f>IFERROR(INDEX('Base Runes'!$D:$D,MATCH($B13,'Base Runes'!$A:$A,0)),"")</f>
        <v>Exorcise</v>
      </c>
      <c r="D13" s="30" t="str">
        <f>IFERROR(INDEX('Base Runes'!$E:$E,MATCH($B13,'Base Runes'!$A:$A,0)),"")</f>
        <v>🜹</v>
      </c>
      <c r="E13" s="10" t="s">
        <v>1013</v>
      </c>
      <c r="F13" s="55"/>
      <c r="G13" s="11" t="str">
        <f>IFERROR(INDEX('Base Runes'!$G:$G,MATCH($B13,'Base Runes'!$A:$A,0)),"")</f>
        <v>Haunt</v>
      </c>
      <c r="H13" s="55"/>
      <c r="I13" s="10"/>
      <c r="J13" s="10"/>
    </row>
    <row r="14" spans="1:10" ht="30" customHeight="1" x14ac:dyDescent="0.25">
      <c r="A14" s="26">
        <v>5</v>
      </c>
      <c r="B14" s="10" t="s">
        <v>498</v>
      </c>
      <c r="C14" s="27" t="str">
        <f>IFERROR(INDEX('Base Runes'!$D:$D,MATCH($B14,'Base Runes'!$A:$A,0)),"")</f>
        <v>Vanish</v>
      </c>
      <c r="D14" s="30" t="str">
        <f>IFERROR(INDEX('Base Runes'!$E:$E,MATCH($B14,'Base Runes'!$A:$A,0)),"")</f>
        <v>🜺</v>
      </c>
      <c r="E14" s="10" t="s">
        <v>1247</v>
      </c>
      <c r="F14" s="55"/>
      <c r="G14" s="11" t="str">
        <f>IFERROR(INDEX('Base Runes'!$G:$G,MATCH($B14,'Base Runes'!$A:$A,0)),"")</f>
        <v>Manifest</v>
      </c>
      <c r="H14" s="55"/>
      <c r="I14" s="10"/>
      <c r="J14" s="10"/>
    </row>
    <row r="15" spans="1:10" ht="30" customHeight="1" x14ac:dyDescent="0.25">
      <c r="A15" s="26">
        <v>5</v>
      </c>
      <c r="B15" s="10" t="s">
        <v>500</v>
      </c>
      <c r="C15" s="27" t="str">
        <f>IFERROR(INDEX('Base Runes'!$D:$D,MATCH($B15,'Base Runes'!$A:$A,0)),"")</f>
        <v>Manifest</v>
      </c>
      <c r="D15" s="30" t="str">
        <f>IFERROR(INDEX('Base Runes'!$E:$E,MATCH($B15,'Base Runes'!$A:$A,0)),"")</f>
        <v>🜻</v>
      </c>
      <c r="E15" s="10" t="s">
        <v>1248</v>
      </c>
      <c r="F15" s="55"/>
      <c r="G15" s="11" t="str">
        <f>IFERROR(INDEX('Base Runes'!$G:$G,MATCH($B15,'Base Runes'!$A:$A,0)),"")</f>
        <v>Vanish</v>
      </c>
      <c r="H15" s="55"/>
      <c r="I15" s="10"/>
      <c r="J15" s="10"/>
    </row>
    <row r="17" spans="1:1" x14ac:dyDescent="0.25">
      <c r="A17" s="29" t="s">
        <v>927</v>
      </c>
    </row>
  </sheetData>
  <mergeCells count="2">
    <mergeCell ref="A3:J3"/>
    <mergeCell ref="A2:J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3E7B3A"/>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57</v>
      </c>
    </row>
    <row r="2" spans="1:10" x14ac:dyDescent="0.25">
      <c r="A2" s="60" t="s">
        <v>1014</v>
      </c>
      <c r="B2" s="59"/>
      <c r="C2" s="59"/>
      <c r="D2" s="59"/>
      <c r="E2" s="59"/>
      <c r="F2" s="59"/>
      <c r="G2" s="59"/>
      <c r="H2" s="59"/>
      <c r="I2" s="59"/>
      <c r="J2" s="59"/>
    </row>
    <row r="3" spans="1:10" ht="30" customHeight="1" x14ac:dyDescent="0.25">
      <c r="A3" s="58" t="s">
        <v>1015</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504</v>
      </c>
      <c r="C6" s="27" t="str">
        <f>IFERROR(INDEX('Base Runes'!$D:$D,MATCH($B6,'Base Runes'!$A:$A,0)),"")</f>
        <v>Grow</v>
      </c>
      <c r="D6" s="30" t="str">
        <f>IFERROR(INDEX('Base Runes'!$E:$E,MATCH($B6,'Base Runes'!$A:$A,0)),"")</f>
        <v>🜼</v>
      </c>
      <c r="E6" s="10" t="s">
        <v>1249</v>
      </c>
      <c r="F6" s="55"/>
      <c r="G6" s="11" t="str">
        <f>IFERROR(INDEX('Base Runes'!$G:$G,MATCH($B6,'Base Runes'!$A:$A,0)),"")</f>
        <v>Shrink</v>
      </c>
      <c r="H6" s="55"/>
      <c r="I6" s="10"/>
      <c r="J6" s="10"/>
    </row>
    <row r="7" spans="1:10" ht="30" customHeight="1" x14ac:dyDescent="0.25">
      <c r="A7" s="26">
        <v>1</v>
      </c>
      <c r="B7" s="10" t="s">
        <v>507</v>
      </c>
      <c r="C7" s="27" t="str">
        <f>IFERROR(INDEX('Base Runes'!$D:$D,MATCH($B7,'Base Runes'!$A:$A,0)),"")</f>
        <v>Shrink</v>
      </c>
      <c r="D7" s="30" t="str">
        <f>IFERROR(INDEX('Base Runes'!$E:$E,MATCH($B7,'Base Runes'!$A:$A,0)),"")</f>
        <v>🜽</v>
      </c>
      <c r="E7" s="10" t="s">
        <v>1250</v>
      </c>
      <c r="F7" s="55"/>
      <c r="G7" s="11" t="str">
        <f>IFERROR(INDEX('Base Runes'!$G:$G,MATCH($B7,'Base Runes'!$A:$A,0)),"")</f>
        <v>Grow</v>
      </c>
      <c r="H7" s="55"/>
      <c r="I7" s="10"/>
      <c r="J7" s="10"/>
    </row>
    <row r="8" spans="1:10" ht="30" customHeight="1" x14ac:dyDescent="0.25">
      <c r="A8" s="26">
        <v>2</v>
      </c>
      <c r="B8" s="10" t="s">
        <v>512</v>
      </c>
      <c r="C8" s="27" t="str">
        <f>IFERROR(INDEX('Base Runes'!$D:$D,MATCH($B8,'Base Runes'!$A:$A,0)),"")</f>
        <v>Sprout</v>
      </c>
      <c r="D8" s="30" t="str">
        <f>IFERROR(INDEX('Base Runes'!$E:$E,MATCH($B8,'Base Runes'!$A:$A,0)),"")</f>
        <v>🜾</v>
      </c>
      <c r="E8" s="10" t="s">
        <v>1251</v>
      </c>
      <c r="F8" s="55"/>
      <c r="G8" s="11" t="str">
        <f>IFERROR(INDEX('Base Runes'!$G:$G,MATCH($B8,'Base Runes'!$A:$A,0)),"")</f>
        <v>Wilt</v>
      </c>
      <c r="H8" s="55"/>
      <c r="I8" s="10"/>
      <c r="J8" s="10"/>
    </row>
    <row r="9" spans="1:10" ht="30" customHeight="1" x14ac:dyDescent="0.25">
      <c r="A9" s="26">
        <v>2</v>
      </c>
      <c r="B9" s="10" t="s">
        <v>515</v>
      </c>
      <c r="C9" s="27" t="str">
        <f>IFERROR(INDEX('Base Runes'!$D:$D,MATCH($B9,'Base Runes'!$A:$A,0)),"")</f>
        <v>Wilt</v>
      </c>
      <c r="D9" s="30" t="str">
        <f>IFERROR(INDEX('Base Runes'!$E:$E,MATCH($B9,'Base Runes'!$A:$A,0)),"")</f>
        <v>🜿</v>
      </c>
      <c r="E9" s="10" t="s">
        <v>1252</v>
      </c>
      <c r="F9" s="55"/>
      <c r="G9" s="11" t="str">
        <f>IFERROR(INDEX('Base Runes'!$G:$G,MATCH($B9,'Base Runes'!$A:$A,0)),"")</f>
        <v>Sprout</v>
      </c>
      <c r="H9" s="55"/>
      <c r="I9" s="10"/>
      <c r="J9" s="10"/>
    </row>
    <row r="10" spans="1:10" ht="30" customHeight="1" x14ac:dyDescent="0.25">
      <c r="A10" s="26">
        <v>3</v>
      </c>
      <c r="B10" s="10" t="s">
        <v>520</v>
      </c>
      <c r="C10" s="27" t="str">
        <f>IFERROR(INDEX('Base Runes'!$D:$D,MATCH($B10,'Base Runes'!$A:$A,0)),"")</f>
        <v>Flourish</v>
      </c>
      <c r="D10" s="30" t="str">
        <f>IFERROR(INDEX('Base Runes'!$E:$E,MATCH($B10,'Base Runes'!$A:$A,0)),"")</f>
        <v>🝀</v>
      </c>
      <c r="E10" s="10" t="s">
        <v>1253</v>
      </c>
      <c r="F10" s="55"/>
      <c r="G10" s="11" t="str">
        <f>IFERROR(INDEX('Base Runes'!$G:$G,MATCH($B10,'Base Runes'!$A:$A,0)),"")</f>
        <v>Blight</v>
      </c>
      <c r="H10" s="55"/>
      <c r="I10" s="10"/>
      <c r="J10" s="10"/>
    </row>
    <row r="11" spans="1:10" ht="30" customHeight="1" x14ac:dyDescent="0.25">
      <c r="A11" s="26">
        <v>3</v>
      </c>
      <c r="B11" s="10" t="s">
        <v>522</v>
      </c>
      <c r="C11" s="27" t="str">
        <f>IFERROR(INDEX('Base Runes'!$D:$D,MATCH($B11,'Base Runes'!$A:$A,0)),"")</f>
        <v>Blight</v>
      </c>
      <c r="D11" s="30" t="str">
        <f>IFERROR(INDEX('Base Runes'!$E:$E,MATCH($B11,'Base Runes'!$A:$A,0)),"")</f>
        <v>🝁</v>
      </c>
      <c r="E11" s="10" t="s">
        <v>1254</v>
      </c>
      <c r="F11" s="55"/>
      <c r="G11" s="11" t="str">
        <f>IFERROR(INDEX('Base Runes'!$G:$G,MATCH($B11,'Base Runes'!$A:$A,0)),"")</f>
        <v>Flourish</v>
      </c>
      <c r="H11" s="55"/>
      <c r="I11" s="10"/>
      <c r="J11" s="10"/>
    </row>
    <row r="12" spans="1:10" ht="30" customHeight="1" x14ac:dyDescent="0.25">
      <c r="A12" s="26">
        <v>4</v>
      </c>
      <c r="B12" s="10" t="s">
        <v>526</v>
      </c>
      <c r="C12" s="27" t="str">
        <f>IFERROR(INDEX('Base Runes'!$D:$D,MATCH($B12,'Base Runes'!$A:$A,0)),"")</f>
        <v>Harvest</v>
      </c>
      <c r="D12" s="30" t="str">
        <f>IFERROR(INDEX('Base Runes'!$E:$E,MATCH($B12,'Base Runes'!$A:$A,0)),"")</f>
        <v>🝂</v>
      </c>
      <c r="E12" s="10" t="s">
        <v>1255</v>
      </c>
      <c r="F12" s="55"/>
      <c r="G12" s="11" t="str">
        <f>IFERROR(INDEX('Base Runes'!$G:$G,MATCH($B12,'Base Runes'!$A:$A,0)),"")</f>
        <v>Sow</v>
      </c>
      <c r="H12" s="55"/>
      <c r="I12" s="10"/>
      <c r="J12" s="10"/>
    </row>
    <row r="13" spans="1:10" ht="30" customHeight="1" x14ac:dyDescent="0.25">
      <c r="A13" s="26">
        <v>4</v>
      </c>
      <c r="B13" s="10" t="s">
        <v>528</v>
      </c>
      <c r="C13" s="27" t="str">
        <f>IFERROR(INDEX('Base Runes'!$D:$D,MATCH($B13,'Base Runes'!$A:$A,0)),"")</f>
        <v>Sow</v>
      </c>
      <c r="D13" s="30" t="str">
        <f>IFERROR(INDEX('Base Runes'!$E:$E,MATCH($B13,'Base Runes'!$A:$A,0)),"")</f>
        <v>🝃</v>
      </c>
      <c r="E13" s="10" t="s">
        <v>1018</v>
      </c>
      <c r="F13" s="55"/>
      <c r="G13" s="11" t="str">
        <f>IFERROR(INDEX('Base Runes'!$G:$G,MATCH($B13,'Base Runes'!$A:$A,0)),"")</f>
        <v>Harvest</v>
      </c>
      <c r="H13" s="55"/>
      <c r="I13" s="10"/>
      <c r="J13" s="10"/>
    </row>
    <row r="14" spans="1:10" ht="30" customHeight="1" x14ac:dyDescent="0.25">
      <c r="A14" s="26">
        <v>5</v>
      </c>
      <c r="B14" s="10" t="s">
        <v>532</v>
      </c>
      <c r="C14" s="27" t="str">
        <f>IFERROR(INDEX('Base Runes'!$D:$D,MATCH($B14,'Base Runes'!$A:$A,0)),"")</f>
        <v>Tangle</v>
      </c>
      <c r="D14" s="30" t="str">
        <f>IFERROR(INDEX('Base Runes'!$E:$E,MATCH($B14,'Base Runes'!$A:$A,0)),"")</f>
        <v>🝄</v>
      </c>
      <c r="E14" s="10" t="s">
        <v>1016</v>
      </c>
      <c r="F14" s="55"/>
      <c r="G14" s="11" t="str">
        <f>IFERROR(INDEX('Base Runes'!$G:$G,MATCH($B14,'Base Runes'!$A:$A,0)),"")</f>
        <v>Unravel</v>
      </c>
      <c r="H14" s="55"/>
      <c r="I14" s="10"/>
      <c r="J14" s="10"/>
    </row>
    <row r="15" spans="1:10" ht="30" customHeight="1" x14ac:dyDescent="0.25">
      <c r="A15" s="26">
        <v>5</v>
      </c>
      <c r="B15" s="10" t="s">
        <v>534</v>
      </c>
      <c r="C15" s="27" t="str">
        <f>IFERROR(INDEX('Base Runes'!$D:$D,MATCH($B15,'Base Runes'!$A:$A,0)),"")</f>
        <v>Unravel</v>
      </c>
      <c r="D15" s="30" t="str">
        <f>IFERROR(INDEX('Base Runes'!$E:$E,MATCH($B15,'Base Runes'!$A:$A,0)),"")</f>
        <v>🝅</v>
      </c>
      <c r="E15" s="10" t="s">
        <v>1017</v>
      </c>
      <c r="F15" s="55"/>
      <c r="G15" s="11" t="str">
        <f>IFERROR(INDEX('Base Runes'!$G:$G,MATCH($B15,'Base Runes'!$A:$A,0)),"")</f>
        <v>Tangle</v>
      </c>
      <c r="H15" s="55"/>
      <c r="I15" s="10"/>
      <c r="J15" s="10"/>
    </row>
    <row r="17" spans="1:1" x14ac:dyDescent="0.25">
      <c r="A17" s="29" t="s">
        <v>927</v>
      </c>
    </row>
  </sheetData>
  <mergeCells count="2">
    <mergeCell ref="A3:J3"/>
    <mergeCell ref="A2:J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5E6A8"/>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60</v>
      </c>
    </row>
    <row r="2" spans="1:10" x14ac:dyDescent="0.25">
      <c r="A2" s="60" t="s">
        <v>1019</v>
      </c>
      <c r="B2" s="59"/>
      <c r="C2" s="59"/>
      <c r="D2" s="59"/>
      <c r="E2" s="59"/>
      <c r="F2" s="59"/>
      <c r="G2" s="59"/>
      <c r="H2" s="59"/>
      <c r="I2" s="59"/>
      <c r="J2" s="59"/>
    </row>
    <row r="3" spans="1:10" ht="30" customHeight="1" x14ac:dyDescent="0.25">
      <c r="A3" s="58" t="s">
        <v>1020</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538</v>
      </c>
      <c r="C6" s="27" t="str">
        <f>IFERROR(INDEX('Base Runes'!$D:$D,MATCH($B6,'Base Runes'!$A:$A,0)),"")</f>
        <v>Shine</v>
      </c>
      <c r="D6" s="30" t="str">
        <f>IFERROR(INDEX('Base Runes'!$E:$E,MATCH($B6,'Base Runes'!$A:$A,0)),"")</f>
        <v>🝆</v>
      </c>
      <c r="E6" s="10" t="s">
        <v>1021</v>
      </c>
      <c r="F6" s="55"/>
      <c r="G6" s="11" t="str">
        <f>IFERROR(INDEX('Base Runes'!$G:$G,MATCH($B6,'Base Runes'!$A:$A,0)),"")</f>
        <v>Dim</v>
      </c>
      <c r="H6" s="55"/>
      <c r="I6" s="10"/>
      <c r="J6" s="10"/>
    </row>
    <row r="7" spans="1:10" ht="30" customHeight="1" x14ac:dyDescent="0.25">
      <c r="A7" s="26">
        <v>1</v>
      </c>
      <c r="B7" s="10" t="s">
        <v>541</v>
      </c>
      <c r="C7" s="27" t="str">
        <f>IFERROR(INDEX('Base Runes'!$D:$D,MATCH($B7,'Base Runes'!$A:$A,0)),"")</f>
        <v>Dim</v>
      </c>
      <c r="D7" s="30" t="str">
        <f>IFERROR(INDEX('Base Runes'!$E:$E,MATCH($B7,'Base Runes'!$A:$A,0)),"")</f>
        <v>🝇</v>
      </c>
      <c r="E7" s="10" t="s">
        <v>1256</v>
      </c>
      <c r="F7" s="55"/>
      <c r="G7" s="11" t="str">
        <f>IFERROR(INDEX('Base Runes'!$G:$G,MATCH($B7,'Base Runes'!$A:$A,0)),"")</f>
        <v>Shine</v>
      </c>
      <c r="H7" s="55"/>
      <c r="I7" s="10"/>
      <c r="J7" s="10"/>
    </row>
    <row r="8" spans="1:10" ht="30" customHeight="1" x14ac:dyDescent="0.25">
      <c r="A8" s="26">
        <v>2</v>
      </c>
      <c r="B8" s="10" t="s">
        <v>545</v>
      </c>
      <c r="C8" s="27" t="str">
        <f>IFERROR(INDEX('Base Runes'!$D:$D,MATCH($B8,'Base Runes'!$A:$A,0)),"")</f>
        <v>Flash</v>
      </c>
      <c r="D8" s="30" t="str">
        <f>IFERROR(INDEX('Base Runes'!$E:$E,MATCH($B8,'Base Runes'!$A:$A,0)),"")</f>
        <v>🝈</v>
      </c>
      <c r="E8" s="10" t="s">
        <v>1257</v>
      </c>
      <c r="F8" s="55"/>
      <c r="G8" s="11" t="str">
        <f>IFERROR(INDEX('Base Runes'!$G:$G,MATCH($B8,'Base Runes'!$A:$A,0)),"")</f>
        <v>Glow</v>
      </c>
      <c r="H8" s="55"/>
      <c r="I8" s="10"/>
      <c r="J8" s="10"/>
    </row>
    <row r="9" spans="1:10" ht="30" customHeight="1" x14ac:dyDescent="0.25">
      <c r="A9" s="26">
        <v>2</v>
      </c>
      <c r="B9" s="10" t="s">
        <v>548</v>
      </c>
      <c r="C9" s="27" t="str">
        <f>IFERROR(INDEX('Base Runes'!$D:$D,MATCH($B9,'Base Runes'!$A:$A,0)),"")</f>
        <v>Glow</v>
      </c>
      <c r="D9" s="30" t="str">
        <f>IFERROR(INDEX('Base Runes'!$E:$E,MATCH($B9,'Base Runes'!$A:$A,0)),"")</f>
        <v>🝉</v>
      </c>
      <c r="E9" s="10" t="s">
        <v>1258</v>
      </c>
      <c r="F9" s="55"/>
      <c r="G9" s="11" t="str">
        <f>IFERROR(INDEX('Base Runes'!$G:$G,MATCH($B9,'Base Runes'!$A:$A,0)),"")</f>
        <v>Flash</v>
      </c>
      <c r="H9" s="55"/>
      <c r="I9" s="10"/>
      <c r="J9" s="10"/>
    </row>
    <row r="10" spans="1:10" ht="30" customHeight="1" x14ac:dyDescent="0.25">
      <c r="A10" s="26">
        <v>3</v>
      </c>
      <c r="B10" s="10" t="s">
        <v>553</v>
      </c>
      <c r="C10" s="27" t="str">
        <f>IFERROR(INDEX('Base Runes'!$D:$D,MATCH($B10,'Base Runes'!$A:$A,0)),"")</f>
        <v>Radiate</v>
      </c>
      <c r="D10" s="30" t="str">
        <f>IFERROR(INDEX('Base Runes'!$E:$E,MATCH($B10,'Base Runes'!$A:$A,0)),"")</f>
        <v>🝊</v>
      </c>
      <c r="E10" s="10" t="s">
        <v>1259</v>
      </c>
      <c r="F10" s="55"/>
      <c r="G10" s="11" t="str">
        <f>IFERROR(INDEX('Base Runes'!$G:$G,MATCH($B10,'Base Runes'!$A:$A,0)),"")</f>
        <v>Absorb</v>
      </c>
      <c r="H10" s="55"/>
      <c r="I10" s="10"/>
      <c r="J10" s="10"/>
    </row>
    <row r="11" spans="1:10" ht="30" customHeight="1" x14ac:dyDescent="0.25">
      <c r="A11" s="26">
        <v>3</v>
      </c>
      <c r="B11" s="10" t="s">
        <v>556</v>
      </c>
      <c r="C11" s="27" t="str">
        <f>IFERROR(INDEX('Base Runes'!$D:$D,MATCH($B11,'Base Runes'!$A:$A,0)),"")</f>
        <v>Absorb</v>
      </c>
      <c r="D11" s="30" t="str">
        <f>IFERROR(INDEX('Base Runes'!$E:$E,MATCH($B11,'Base Runes'!$A:$A,0)),"")</f>
        <v>🝋</v>
      </c>
      <c r="E11" s="10" t="s">
        <v>1260</v>
      </c>
      <c r="F11" s="55"/>
      <c r="G11" s="11" t="str">
        <f>IFERROR(INDEX('Base Runes'!$G:$G,MATCH($B11,'Base Runes'!$A:$A,0)),"")</f>
        <v>Radiate</v>
      </c>
      <c r="H11" s="55"/>
      <c r="I11" s="10"/>
      <c r="J11" s="10"/>
    </row>
    <row r="12" spans="1:10" ht="30" customHeight="1" x14ac:dyDescent="0.25">
      <c r="A12" s="26">
        <v>4</v>
      </c>
      <c r="B12" s="10" t="s">
        <v>560</v>
      </c>
      <c r="C12" s="27" t="str">
        <f>IFERROR(INDEX('Base Runes'!$D:$D,MATCH($B12,'Base Runes'!$A:$A,0)),"")</f>
        <v>Glare</v>
      </c>
      <c r="D12" s="30" t="str">
        <f>IFERROR(INDEX('Base Runes'!$E:$E,MATCH($B12,'Base Runes'!$A:$A,0)),"")</f>
        <v>🝌</v>
      </c>
      <c r="E12" s="10" t="s">
        <v>1261</v>
      </c>
      <c r="F12" s="55"/>
      <c r="G12" s="11" t="str">
        <f>IFERROR(INDEX('Base Runes'!$G:$G,MATCH($B12,'Base Runes'!$A:$A,0)),"")</f>
        <v>Clarity</v>
      </c>
      <c r="H12" s="55"/>
      <c r="I12" s="10"/>
      <c r="J12" s="10"/>
    </row>
    <row r="13" spans="1:10" ht="30" customHeight="1" x14ac:dyDescent="0.25">
      <c r="A13" s="26">
        <v>4</v>
      </c>
      <c r="B13" s="10" t="s">
        <v>562</v>
      </c>
      <c r="C13" s="27" t="str">
        <f>IFERROR(INDEX('Base Runes'!$D:$D,MATCH($B13,'Base Runes'!$A:$A,0)),"")</f>
        <v>Clarity</v>
      </c>
      <c r="D13" s="30" t="str">
        <f>IFERROR(INDEX('Base Runes'!$E:$E,MATCH($B13,'Base Runes'!$A:$A,0)),"")</f>
        <v>🝍</v>
      </c>
      <c r="E13" s="10" t="s">
        <v>1022</v>
      </c>
      <c r="F13" s="55"/>
      <c r="G13" s="11" t="str">
        <f>IFERROR(INDEX('Base Runes'!$G:$G,MATCH($B13,'Base Runes'!$A:$A,0)),"")</f>
        <v>Glare</v>
      </c>
      <c r="H13" s="55"/>
      <c r="I13" s="10"/>
      <c r="J13" s="10"/>
    </row>
    <row r="14" spans="1:10" ht="30" customHeight="1" x14ac:dyDescent="0.25">
      <c r="A14" s="26">
        <v>5</v>
      </c>
      <c r="B14" s="10" t="s">
        <v>567</v>
      </c>
      <c r="C14" s="27" t="str">
        <f>IFERROR(INDEX('Base Runes'!$D:$D,MATCH($B14,'Base Runes'!$A:$A,0)),"")</f>
        <v>Reflect</v>
      </c>
      <c r="D14" s="30" t="str">
        <f>IFERROR(INDEX('Base Runes'!$E:$E,MATCH($B14,'Base Runes'!$A:$A,0)),"")</f>
        <v>🝎</v>
      </c>
      <c r="E14" s="10" t="s">
        <v>1262</v>
      </c>
      <c r="F14" s="55"/>
      <c r="G14" s="11" t="str">
        <f>IFERROR(INDEX('Base Runes'!$G:$G,MATCH($B14,'Base Runes'!$A:$A,0)),"")</f>
        <v>Bend</v>
      </c>
      <c r="H14" s="55"/>
      <c r="I14" s="10"/>
      <c r="J14" s="10"/>
    </row>
    <row r="15" spans="1:10" ht="30" customHeight="1" x14ac:dyDescent="0.25">
      <c r="A15" s="26">
        <v>5</v>
      </c>
      <c r="B15" s="10" t="s">
        <v>569</v>
      </c>
      <c r="C15" s="27" t="str">
        <f>IFERROR(INDEX('Base Runes'!$D:$D,MATCH($B15,'Base Runes'!$A:$A,0)),"")</f>
        <v>Bend</v>
      </c>
      <c r="D15" s="30" t="str">
        <f>IFERROR(INDEX('Base Runes'!$E:$E,MATCH($B15,'Base Runes'!$A:$A,0)),"")</f>
        <v>🝏</v>
      </c>
      <c r="E15" s="10" t="s">
        <v>1263</v>
      </c>
      <c r="F15" s="55"/>
      <c r="G15" s="11" t="str">
        <f>IFERROR(INDEX('Base Runes'!$G:$G,MATCH($B15,'Base Runes'!$A:$A,0)),"")</f>
        <v>Reflect</v>
      </c>
      <c r="H15" s="55"/>
      <c r="I15" s="10"/>
      <c r="J15" s="10"/>
    </row>
    <row r="17" spans="1:1" x14ac:dyDescent="0.25">
      <c r="A17" s="29" t="s">
        <v>927</v>
      </c>
    </row>
  </sheetData>
  <mergeCells count="2">
    <mergeCell ref="A3:J3"/>
    <mergeCell ref="A2:J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B7FD4"/>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63</v>
      </c>
    </row>
    <row r="2" spans="1:10" x14ac:dyDescent="0.25">
      <c r="A2" s="60" t="s">
        <v>1023</v>
      </c>
      <c r="B2" s="59"/>
      <c r="C2" s="59"/>
      <c r="D2" s="59"/>
      <c r="E2" s="59"/>
      <c r="F2" s="59"/>
      <c r="G2" s="59"/>
      <c r="H2" s="59"/>
      <c r="I2" s="59"/>
      <c r="J2" s="59"/>
    </row>
    <row r="3" spans="1:10" ht="30" customHeight="1" x14ac:dyDescent="0.25">
      <c r="A3" s="58" t="s">
        <v>1024</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573</v>
      </c>
      <c r="C6" s="27" t="str">
        <f>IFERROR(INDEX('Base Runes'!$D:$D,MATCH($B6,'Base Runes'!$A:$A,0)),"")</f>
        <v>Sleep</v>
      </c>
      <c r="D6" s="30" t="str">
        <f>IFERROR(INDEX('Base Runes'!$E:$E,MATCH($B6,'Base Runes'!$A:$A,0)),"")</f>
        <v>🝐</v>
      </c>
      <c r="E6" s="10" t="s">
        <v>1025</v>
      </c>
      <c r="F6" s="55"/>
      <c r="G6" s="11" t="str">
        <f>IFERROR(INDEX('Base Runes'!$G:$G,MATCH($B6,'Base Runes'!$A:$A,0)),"")</f>
        <v>Wake</v>
      </c>
      <c r="H6" s="55"/>
      <c r="I6" s="10"/>
      <c r="J6" s="10"/>
    </row>
    <row r="7" spans="1:10" ht="30" customHeight="1" x14ac:dyDescent="0.25">
      <c r="A7" s="26">
        <v>1</v>
      </c>
      <c r="B7" s="10" t="s">
        <v>576</v>
      </c>
      <c r="C7" s="27" t="str">
        <f>IFERROR(INDEX('Base Runes'!$D:$D,MATCH($B7,'Base Runes'!$A:$A,0)),"")</f>
        <v>Wake</v>
      </c>
      <c r="D7" s="30" t="str">
        <f>IFERROR(INDEX('Base Runes'!$E:$E,MATCH($B7,'Base Runes'!$A:$A,0)),"")</f>
        <v>🝑</v>
      </c>
      <c r="E7" s="10" t="s">
        <v>1264</v>
      </c>
      <c r="F7" s="55"/>
      <c r="G7" s="11" t="str">
        <f>IFERROR(INDEX('Base Runes'!$G:$G,MATCH($B7,'Base Runes'!$A:$A,0)),"")</f>
        <v>Sleep</v>
      </c>
      <c r="H7" s="55"/>
      <c r="I7" s="10"/>
      <c r="J7" s="10"/>
    </row>
    <row r="8" spans="1:10" ht="30" customHeight="1" x14ac:dyDescent="0.25">
      <c r="A8" s="26">
        <v>2</v>
      </c>
      <c r="B8" s="10" t="s">
        <v>581</v>
      </c>
      <c r="C8" s="27" t="str">
        <f>IFERROR(INDEX('Base Runes'!$D:$D,MATCH($B8,'Base Runes'!$A:$A,0)),"")</f>
        <v>Conjure</v>
      </c>
      <c r="D8" s="30" t="str">
        <f>IFERROR(INDEX('Base Runes'!$E:$E,MATCH($B8,'Base Runes'!$A:$A,0)),"")</f>
        <v>🝒</v>
      </c>
      <c r="E8" s="10" t="s">
        <v>1026</v>
      </c>
      <c r="F8" s="55"/>
      <c r="G8" s="11" t="str">
        <f>IFERROR(INDEX('Base Runes'!$G:$G,MATCH($B8,'Base Runes'!$A:$A,0)),"")</f>
        <v>Dispel</v>
      </c>
      <c r="H8" s="55"/>
      <c r="I8" s="10"/>
      <c r="J8" s="10"/>
    </row>
    <row r="9" spans="1:10" ht="30" customHeight="1" x14ac:dyDescent="0.25">
      <c r="A9" s="26">
        <v>2</v>
      </c>
      <c r="B9" s="10" t="s">
        <v>583</v>
      </c>
      <c r="C9" s="27" t="str">
        <f>IFERROR(INDEX('Base Runes'!$D:$D,MATCH($B9,'Base Runes'!$A:$A,0)),"")</f>
        <v>Dispel</v>
      </c>
      <c r="D9" s="30" t="str">
        <f>IFERROR(INDEX('Base Runes'!$E:$E,MATCH($B9,'Base Runes'!$A:$A,0)),"")</f>
        <v>🝓</v>
      </c>
      <c r="E9" s="10" t="s">
        <v>1027</v>
      </c>
      <c r="F9" s="55"/>
      <c r="G9" s="11" t="str">
        <f>IFERROR(INDEX('Base Runes'!$G:$G,MATCH($B9,'Base Runes'!$A:$A,0)),"")</f>
        <v>Conjure</v>
      </c>
      <c r="H9" s="55"/>
      <c r="I9" s="10"/>
      <c r="J9" s="10"/>
    </row>
    <row r="10" spans="1:10" ht="30" customHeight="1" x14ac:dyDescent="0.25">
      <c r="A10" s="26">
        <v>3</v>
      </c>
      <c r="B10" s="10" t="s">
        <v>588</v>
      </c>
      <c r="C10" s="27" t="str">
        <f>IFERROR(INDEX('Base Runes'!$D:$D,MATCH($B10,'Base Runes'!$A:$A,0)),"")</f>
        <v>Dread</v>
      </c>
      <c r="D10" s="30" t="str">
        <f>IFERROR(INDEX('Base Runes'!$E:$E,MATCH($B10,'Base Runes'!$A:$A,0)),"")</f>
        <v>🝔</v>
      </c>
      <c r="E10" s="10" t="s">
        <v>1028</v>
      </c>
      <c r="F10" s="55"/>
      <c r="G10" s="11" t="str">
        <f>IFERROR(INDEX('Base Runes'!$G:$G,MATCH($B10,'Base Runes'!$A:$A,0)),"")</f>
        <v>Soothe</v>
      </c>
      <c r="H10" s="55"/>
      <c r="I10" s="10"/>
      <c r="J10" s="10"/>
    </row>
    <row r="11" spans="1:10" ht="30" customHeight="1" x14ac:dyDescent="0.25">
      <c r="A11" s="26">
        <v>3</v>
      </c>
      <c r="B11" s="10" t="s">
        <v>590</v>
      </c>
      <c r="C11" s="27" t="str">
        <f>IFERROR(INDEX('Base Runes'!$D:$D,MATCH($B11,'Base Runes'!$A:$A,0)),"")</f>
        <v>Soothe</v>
      </c>
      <c r="D11" s="30" t="str">
        <f>IFERROR(INDEX('Base Runes'!$E:$E,MATCH($B11,'Base Runes'!$A:$A,0)),"")</f>
        <v>🝕</v>
      </c>
      <c r="E11" s="10" t="s">
        <v>1265</v>
      </c>
      <c r="F11" s="55"/>
      <c r="G11" s="11" t="str">
        <f>IFERROR(INDEX('Base Runes'!$G:$G,MATCH($B11,'Base Runes'!$A:$A,0)),"")</f>
        <v>Dread</v>
      </c>
      <c r="H11" s="55"/>
      <c r="I11" s="10"/>
      <c r="J11" s="10"/>
    </row>
    <row r="12" spans="1:10" ht="30" customHeight="1" x14ac:dyDescent="0.25">
      <c r="A12" s="26">
        <v>4</v>
      </c>
      <c r="B12" s="10" t="s">
        <v>594</v>
      </c>
      <c r="C12" s="27" t="str">
        <f>IFERROR(INDEX('Base Runes'!$D:$D,MATCH($B12,'Base Runes'!$A:$A,0)),"")</f>
        <v>Mimic</v>
      </c>
      <c r="D12" s="30" t="str">
        <f>IFERROR(INDEX('Base Runes'!$E:$E,MATCH($B12,'Base Runes'!$A:$A,0)),"")</f>
        <v>🝖</v>
      </c>
      <c r="E12" s="10" t="s">
        <v>1266</v>
      </c>
      <c r="F12" s="55"/>
      <c r="G12" s="11" t="str">
        <f>IFERROR(INDEX('Base Runes'!$G:$G,MATCH($B12,'Base Runes'!$A:$A,0)),"")</f>
        <v>Unmask</v>
      </c>
      <c r="H12" s="55"/>
      <c r="I12" s="10"/>
      <c r="J12" s="10"/>
    </row>
    <row r="13" spans="1:10" ht="30" customHeight="1" x14ac:dyDescent="0.25">
      <c r="A13" s="26">
        <v>4</v>
      </c>
      <c r="B13" s="10" t="s">
        <v>596</v>
      </c>
      <c r="C13" s="27" t="str">
        <f>IFERROR(INDEX('Base Runes'!$D:$D,MATCH($B13,'Base Runes'!$A:$A,0)),"")</f>
        <v>Unmask</v>
      </c>
      <c r="D13" s="30" t="str">
        <f>IFERROR(INDEX('Base Runes'!$E:$E,MATCH($B13,'Base Runes'!$A:$A,0)),"")</f>
        <v>🝗</v>
      </c>
      <c r="E13" s="10" t="s">
        <v>1267</v>
      </c>
      <c r="F13" s="55"/>
      <c r="G13" s="11" t="str">
        <f>IFERROR(INDEX('Base Runes'!$G:$G,MATCH($B13,'Base Runes'!$A:$A,0)),"")</f>
        <v>Mimic</v>
      </c>
      <c r="H13" s="55"/>
      <c r="I13" s="10"/>
      <c r="J13" s="10"/>
    </row>
    <row r="14" spans="1:10" ht="30" customHeight="1" x14ac:dyDescent="0.25">
      <c r="A14" s="26">
        <v>5</v>
      </c>
      <c r="B14" s="10" t="s">
        <v>600</v>
      </c>
      <c r="C14" s="27" t="str">
        <f>IFERROR(INDEX('Base Runes'!$D:$D,MATCH($B14,'Base Runes'!$A:$A,0)),"")</f>
        <v>Whisper</v>
      </c>
      <c r="D14" s="30" t="str">
        <f>IFERROR(INDEX('Base Runes'!$E:$E,MATCH($B14,'Base Runes'!$A:$A,0)),"")</f>
        <v>🝘</v>
      </c>
      <c r="E14" s="10" t="s">
        <v>1029</v>
      </c>
      <c r="F14" s="55"/>
      <c r="G14" s="11" t="str">
        <f>IFERROR(INDEX('Base Runes'!$G:$G,MATCH($B14,'Base Runes'!$A:$A,0)),"")</f>
        <v>Shut</v>
      </c>
      <c r="H14" s="55"/>
      <c r="I14" s="10"/>
      <c r="J14" s="10"/>
    </row>
    <row r="15" spans="1:10" ht="30" customHeight="1" x14ac:dyDescent="0.25">
      <c r="A15" s="26">
        <v>5</v>
      </c>
      <c r="B15" s="10" t="s">
        <v>603</v>
      </c>
      <c r="C15" s="27" t="str">
        <f>IFERROR(INDEX('Base Runes'!$D:$D,MATCH($B15,'Base Runes'!$A:$A,0)),"")</f>
        <v>Shut</v>
      </c>
      <c r="D15" s="30" t="str">
        <f>IFERROR(INDEX('Base Runes'!$E:$E,MATCH($B15,'Base Runes'!$A:$A,0)),"")</f>
        <v>🝙</v>
      </c>
      <c r="E15" s="10" t="s">
        <v>1030</v>
      </c>
      <c r="F15" s="55"/>
      <c r="G15" s="11" t="str">
        <f>IFERROR(INDEX('Base Runes'!$G:$G,MATCH($B15,'Base Runes'!$A:$A,0)),"")</f>
        <v>Whisper</v>
      </c>
      <c r="H15" s="55"/>
      <c r="I15" s="10"/>
      <c r="J15" s="10"/>
    </row>
    <row r="17" spans="1:1" x14ac:dyDescent="0.25">
      <c r="A17" s="29" t="s">
        <v>927</v>
      </c>
    </row>
  </sheetData>
  <mergeCells count="2">
    <mergeCell ref="A3:J3"/>
    <mergeCell ref="A2:J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CB342"/>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66</v>
      </c>
    </row>
    <row r="2" spans="1:10" x14ac:dyDescent="0.25">
      <c r="A2" s="60" t="s">
        <v>1031</v>
      </c>
      <c r="B2" s="59"/>
      <c r="C2" s="59"/>
      <c r="D2" s="59"/>
      <c r="E2" s="59"/>
      <c r="F2" s="59"/>
      <c r="G2" s="59"/>
      <c r="H2" s="59"/>
      <c r="I2" s="59"/>
      <c r="J2" s="59"/>
    </row>
    <row r="3" spans="1:10" ht="30" customHeight="1" x14ac:dyDescent="0.25">
      <c r="A3" s="58" t="s">
        <v>1020</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608</v>
      </c>
      <c r="C6" s="27" t="str">
        <f>IFERROR(INDEX('Base Runes'!$D:$D,MATCH($B6,'Base Runes'!$A:$A,0)),"")</f>
        <v>Poison</v>
      </c>
      <c r="D6" s="30" t="str">
        <f>IFERROR(INDEX('Base Runes'!$E:$E,MATCH($B6,'Base Runes'!$A:$A,0)),"")</f>
        <v>🝚</v>
      </c>
      <c r="E6" s="10" t="s">
        <v>1032</v>
      </c>
      <c r="F6" s="55"/>
      <c r="G6" s="11" t="str">
        <f>IFERROR(INDEX('Base Runes'!$G:$G,MATCH($B6,'Base Runes'!$A:$A,0)),"")</f>
        <v>Purge</v>
      </c>
      <c r="H6" s="55"/>
      <c r="I6" s="10"/>
      <c r="J6" s="10"/>
    </row>
    <row r="7" spans="1:10" ht="30" customHeight="1" x14ac:dyDescent="0.25">
      <c r="A7" s="26">
        <v>1</v>
      </c>
      <c r="B7" s="10" t="s">
        <v>610</v>
      </c>
      <c r="C7" s="27" t="str">
        <f>IFERROR(INDEX('Base Runes'!$D:$D,MATCH($B7,'Base Runes'!$A:$A,0)),"")</f>
        <v>Purge</v>
      </c>
      <c r="D7" s="30" t="str">
        <f>IFERROR(INDEX('Base Runes'!$E:$E,MATCH($B7,'Base Runes'!$A:$A,0)),"")</f>
        <v>🝛</v>
      </c>
      <c r="E7" s="10" t="s">
        <v>1033</v>
      </c>
      <c r="F7" s="55"/>
      <c r="G7" s="11" t="str">
        <f>IFERROR(INDEX('Base Runes'!$G:$G,MATCH($B7,'Base Runes'!$A:$A,0)),"")</f>
        <v>Poison</v>
      </c>
      <c r="H7" s="55"/>
      <c r="I7" s="10"/>
      <c r="J7" s="10"/>
    </row>
    <row r="8" spans="1:10" ht="30" customHeight="1" x14ac:dyDescent="0.25">
      <c r="A8" s="26">
        <v>2</v>
      </c>
      <c r="B8" s="10" t="s">
        <v>615</v>
      </c>
      <c r="C8" s="27" t="str">
        <f>IFERROR(INDEX('Base Runes'!$D:$D,MATCH($B8,'Base Runes'!$A:$A,0)),"")</f>
        <v>Contaminate</v>
      </c>
      <c r="D8" s="30" t="str">
        <f>IFERROR(INDEX('Base Runes'!$E:$E,MATCH($B8,'Base Runes'!$A:$A,0)),"")</f>
        <v>🝜</v>
      </c>
      <c r="E8" s="10" t="s">
        <v>1268</v>
      </c>
      <c r="F8" s="55"/>
      <c r="G8" s="11" t="str">
        <f>IFERROR(INDEX('Base Runes'!$G:$G,MATCH($B8,'Base Runes'!$A:$A,0)),"")</f>
        <v>Cleanse</v>
      </c>
      <c r="H8" s="55"/>
      <c r="I8" s="10"/>
      <c r="J8" s="10"/>
    </row>
    <row r="9" spans="1:10" ht="30" customHeight="1" x14ac:dyDescent="0.25">
      <c r="A9" s="26">
        <v>2</v>
      </c>
      <c r="B9" s="10" t="s">
        <v>618</v>
      </c>
      <c r="C9" s="27" t="str">
        <f>IFERROR(INDEX('Base Runes'!$D:$D,MATCH($B9,'Base Runes'!$A:$A,0)),"")</f>
        <v>Cleanse</v>
      </c>
      <c r="D9" s="30" t="str">
        <f>IFERROR(INDEX('Base Runes'!$E:$E,MATCH($B9,'Base Runes'!$A:$A,0)),"")</f>
        <v>🝝</v>
      </c>
      <c r="E9" s="10" t="s">
        <v>1269</v>
      </c>
      <c r="F9" s="55"/>
      <c r="G9" s="11" t="str">
        <f>IFERROR(INDEX('Base Runes'!$G:$G,MATCH($B9,'Base Runes'!$A:$A,0)),"")</f>
        <v>Contaminate</v>
      </c>
      <c r="H9" s="55"/>
      <c r="I9" s="10"/>
      <c r="J9" s="10"/>
    </row>
    <row r="10" spans="1:10" ht="30" customHeight="1" x14ac:dyDescent="0.25">
      <c r="A10" s="26">
        <v>3</v>
      </c>
      <c r="B10" s="10" t="s">
        <v>623</v>
      </c>
      <c r="C10" s="27" t="str">
        <f>IFERROR(INDEX('Base Runes'!$D:$D,MATCH($B10,'Base Runes'!$A:$A,0)),"")</f>
        <v>Corrode</v>
      </c>
      <c r="D10" s="30" t="str">
        <f>IFERROR(INDEX('Base Runes'!$E:$E,MATCH($B10,'Base Runes'!$A:$A,0)),"")</f>
        <v>🝞</v>
      </c>
      <c r="E10" s="10" t="s">
        <v>1270</v>
      </c>
      <c r="F10" s="55"/>
      <c r="G10" s="11" t="str">
        <f>IFERROR(INDEX('Base Runes'!$G:$G,MATCH($B10,'Base Runes'!$A:$A,0)),"")</f>
        <v>Neutralise</v>
      </c>
      <c r="H10" s="55"/>
      <c r="I10" s="10"/>
      <c r="J10" s="10"/>
    </row>
    <row r="11" spans="1:10" ht="30" customHeight="1" x14ac:dyDescent="0.25">
      <c r="A11" s="26">
        <v>3</v>
      </c>
      <c r="B11" s="10" t="s">
        <v>625</v>
      </c>
      <c r="C11" s="27" t="str">
        <f>IFERROR(INDEX('Base Runes'!$D:$D,MATCH($B11,'Base Runes'!$A:$A,0)),"")</f>
        <v>Neutralise</v>
      </c>
      <c r="D11" s="30" t="str">
        <f>IFERROR(INDEX('Base Runes'!$E:$E,MATCH($B11,'Base Runes'!$A:$A,0)),"")</f>
        <v>🝟</v>
      </c>
      <c r="E11" s="10" t="s">
        <v>1271</v>
      </c>
      <c r="F11" s="55"/>
      <c r="G11" s="11" t="str">
        <f>IFERROR(INDEX('Base Runes'!$G:$G,MATCH($B11,'Base Runes'!$A:$A,0)),"")</f>
        <v>Corrode</v>
      </c>
      <c r="H11" s="55"/>
      <c r="I11" s="10"/>
      <c r="J11" s="10"/>
    </row>
    <row r="12" spans="1:10" ht="30" customHeight="1" x14ac:dyDescent="0.25">
      <c r="A12" s="26">
        <v>4</v>
      </c>
      <c r="B12" s="10" t="s">
        <v>629</v>
      </c>
      <c r="C12" s="27" t="str">
        <f>IFERROR(INDEX('Base Runes'!$D:$D,MATCH($B12,'Base Runes'!$A:$A,0)),"")</f>
        <v>Linger</v>
      </c>
      <c r="D12" s="30" t="str">
        <f>IFERROR(INDEX('Base Runes'!$E:$E,MATCH($B12,'Base Runes'!$A:$A,0)),"")</f>
        <v>🝠</v>
      </c>
      <c r="E12" s="10" t="s">
        <v>1036</v>
      </c>
      <c r="F12" s="55"/>
      <c r="G12" s="11" t="str">
        <f>IFERROR(INDEX('Base Runes'!$G:$G,MATCH($B12,'Base Runes'!$A:$A,0)),"")</f>
        <v>Flush</v>
      </c>
      <c r="H12" s="55"/>
      <c r="I12" s="10"/>
      <c r="J12" s="10"/>
    </row>
    <row r="13" spans="1:10" ht="30" customHeight="1" x14ac:dyDescent="0.25">
      <c r="A13" s="26">
        <v>4</v>
      </c>
      <c r="B13" s="10" t="s">
        <v>632</v>
      </c>
      <c r="C13" s="27" t="str">
        <f>IFERROR(INDEX('Base Runes'!$D:$D,MATCH($B13,'Base Runes'!$A:$A,0)),"")</f>
        <v>Flush</v>
      </c>
      <c r="D13" s="30" t="str">
        <f>IFERROR(INDEX('Base Runes'!$E:$E,MATCH($B13,'Base Runes'!$A:$A,0)),"")</f>
        <v>🝡</v>
      </c>
      <c r="E13" s="10" t="s">
        <v>1037</v>
      </c>
      <c r="F13" s="55"/>
      <c r="G13" s="11" t="str">
        <f>IFERROR(INDEX('Base Runes'!$G:$G,MATCH($B13,'Base Runes'!$A:$A,0)),"")</f>
        <v>Linger</v>
      </c>
      <c r="H13" s="55"/>
      <c r="I13" s="10"/>
      <c r="J13" s="10"/>
    </row>
    <row r="14" spans="1:10" ht="30" customHeight="1" x14ac:dyDescent="0.25">
      <c r="A14" s="26">
        <v>5</v>
      </c>
      <c r="B14" s="10" t="s">
        <v>636</v>
      </c>
      <c r="C14" s="27" t="str">
        <f>IFERROR(INDEX('Base Runes'!$D:$D,MATCH($B14,'Base Runes'!$A:$A,0)),"")</f>
        <v>Sap</v>
      </c>
      <c r="D14" s="30" t="str">
        <f>IFERROR(INDEX('Base Runes'!$E:$E,MATCH($B14,'Base Runes'!$A:$A,0)),"")</f>
        <v>🝢</v>
      </c>
      <c r="E14" s="10" t="s">
        <v>1034</v>
      </c>
      <c r="F14" s="55"/>
      <c r="G14" s="11" t="str">
        <f>IFERROR(INDEX('Base Runes'!$G:$G,MATCH($B14,'Base Runes'!$A:$A,0)),"")</f>
        <v>Stimulate</v>
      </c>
      <c r="H14" s="55"/>
      <c r="I14" s="10"/>
      <c r="J14" s="10"/>
    </row>
    <row r="15" spans="1:10" ht="30" customHeight="1" x14ac:dyDescent="0.25">
      <c r="A15" s="26">
        <v>5</v>
      </c>
      <c r="B15" s="10" t="s">
        <v>639</v>
      </c>
      <c r="C15" s="27" t="str">
        <f>IFERROR(INDEX('Base Runes'!$D:$D,MATCH($B15,'Base Runes'!$A:$A,0)),"")</f>
        <v>Stimulate</v>
      </c>
      <c r="D15" s="30" t="str">
        <f>IFERROR(INDEX('Base Runes'!$E:$E,MATCH($B15,'Base Runes'!$A:$A,0)),"")</f>
        <v>🝣</v>
      </c>
      <c r="E15" s="10" t="s">
        <v>1035</v>
      </c>
      <c r="F15" s="55"/>
      <c r="G15" s="11" t="str">
        <f>IFERROR(INDEX('Base Runes'!$G:$G,MATCH($B15,'Base Runes'!$A:$A,0)),"")</f>
        <v>Sap</v>
      </c>
      <c r="H15" s="55"/>
      <c r="I15" s="10"/>
      <c r="J15" s="10"/>
    </row>
    <row r="17" spans="1:1" x14ac:dyDescent="0.25">
      <c r="A17" s="29" t="s">
        <v>927</v>
      </c>
    </row>
  </sheetData>
  <mergeCells count="2">
    <mergeCell ref="A3:J3"/>
    <mergeCell ref="A2:J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6B6B3A"/>
  </sheetPr>
  <dimension ref="A1:J17"/>
  <sheetViews>
    <sheetView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10" customWidth="1"/>
    <col min="3" max="3" width="16" customWidth="1"/>
    <col min="4" max="4" width="11" customWidth="1"/>
    <col min="5" max="6" width="46" customWidth="1"/>
    <col min="7" max="7" width="16" customWidth="1"/>
    <col min="8" max="8" width="40" customWidth="1"/>
    <col min="9" max="10" width="30" customWidth="1"/>
  </cols>
  <sheetData>
    <row r="1" spans="1:10" ht="20.25" x14ac:dyDescent="0.3">
      <c r="A1" s="25" t="s">
        <v>68</v>
      </c>
    </row>
    <row r="2" spans="1:10" x14ac:dyDescent="0.25">
      <c r="A2" s="60" t="s">
        <v>1038</v>
      </c>
      <c r="B2" s="59"/>
      <c r="C2" s="59"/>
      <c r="D2" s="59"/>
      <c r="E2" s="59"/>
      <c r="F2" s="59"/>
      <c r="G2" s="59"/>
      <c r="H2" s="59"/>
      <c r="I2" s="59"/>
      <c r="J2" s="59"/>
    </row>
    <row r="3" spans="1:10" ht="30" customHeight="1" x14ac:dyDescent="0.25">
      <c r="A3" s="58" t="s">
        <v>1039</v>
      </c>
      <c r="B3" s="59"/>
      <c r="C3" s="59"/>
      <c r="D3" s="59"/>
      <c r="E3" s="59"/>
      <c r="F3" s="59"/>
      <c r="G3" s="59"/>
      <c r="H3" s="59"/>
      <c r="I3" s="59"/>
      <c r="J3" s="59"/>
    </row>
    <row r="5" spans="1:10" ht="30" customHeight="1" x14ac:dyDescent="0.25">
      <c r="A5" s="8" t="s">
        <v>82</v>
      </c>
      <c r="B5" s="8" t="s">
        <v>81</v>
      </c>
      <c r="C5" s="8" t="s">
        <v>83</v>
      </c>
      <c r="D5" s="8" t="s">
        <v>84</v>
      </c>
      <c r="E5" s="8" t="s">
        <v>906</v>
      </c>
      <c r="F5" s="8" t="s">
        <v>907</v>
      </c>
      <c r="G5" s="8" t="s">
        <v>86</v>
      </c>
      <c r="H5" s="8" t="s">
        <v>908</v>
      </c>
      <c r="I5" s="8" t="s">
        <v>909</v>
      </c>
      <c r="J5" s="8" t="s">
        <v>910</v>
      </c>
    </row>
    <row r="6" spans="1:10" ht="30" customHeight="1" x14ac:dyDescent="0.25">
      <c r="A6" s="26">
        <v>1</v>
      </c>
      <c r="B6" s="10" t="s">
        <v>644</v>
      </c>
      <c r="C6" s="27" t="str">
        <f>IFERROR(INDEX('Base Runes'!$D:$D,MATCH($B6,'Base Runes'!$A:$A,0)),"")</f>
        <v>Infect</v>
      </c>
      <c r="D6" s="30" t="str">
        <f>IFERROR(INDEX('Base Runes'!$E:$E,MATCH($B6,'Base Runes'!$A:$A,0)),"")</f>
        <v>🝤</v>
      </c>
      <c r="E6" s="10" t="s">
        <v>1272</v>
      </c>
      <c r="F6" s="55"/>
      <c r="G6" s="11" t="str">
        <f>IFERROR(INDEX('Base Runes'!$G:$G,MATCH($B6,'Base Runes'!$A:$A,0)),"")</f>
        <v>Disinfect</v>
      </c>
      <c r="H6" s="55"/>
      <c r="I6" s="10"/>
      <c r="J6" s="10"/>
    </row>
    <row r="7" spans="1:10" ht="30" customHeight="1" x14ac:dyDescent="0.25">
      <c r="A7" s="26">
        <v>1</v>
      </c>
      <c r="B7" s="10" t="s">
        <v>647</v>
      </c>
      <c r="C7" s="27" t="str">
        <f>IFERROR(INDEX('Base Runes'!$D:$D,MATCH($B7,'Base Runes'!$A:$A,0)),"")</f>
        <v>Disinfect</v>
      </c>
      <c r="D7" s="30" t="str">
        <f>IFERROR(INDEX('Base Runes'!$E:$E,MATCH($B7,'Base Runes'!$A:$A,0)),"")</f>
        <v>🝥</v>
      </c>
      <c r="E7" s="10" t="s">
        <v>1273</v>
      </c>
      <c r="F7" s="55"/>
      <c r="G7" s="11" t="str">
        <f>IFERROR(INDEX('Base Runes'!$G:$G,MATCH($B7,'Base Runes'!$A:$A,0)),"")</f>
        <v>Infect</v>
      </c>
      <c r="H7" s="55"/>
      <c r="I7" s="10"/>
      <c r="J7" s="10"/>
    </row>
    <row r="8" spans="1:10" ht="30" customHeight="1" x14ac:dyDescent="0.25">
      <c r="A8" s="26">
        <v>2</v>
      </c>
      <c r="B8" s="10" t="s">
        <v>652</v>
      </c>
      <c r="C8" s="27" t="str">
        <f>IFERROR(INDEX('Base Runes'!$D:$D,MATCH($B8,'Base Runes'!$A:$A,0)),"")</f>
        <v>Spread</v>
      </c>
      <c r="D8" s="30" t="str">
        <f>IFERROR(INDEX('Base Runes'!$E:$E,MATCH($B8,'Base Runes'!$A:$A,0)),"")</f>
        <v>🝦</v>
      </c>
      <c r="E8" s="10" t="s">
        <v>1043</v>
      </c>
      <c r="F8" s="55"/>
      <c r="G8" s="11" t="str">
        <f>IFERROR(INDEX('Base Runes'!$G:$G,MATCH($B8,'Base Runes'!$A:$A,0)),"")</f>
        <v>Contain</v>
      </c>
      <c r="H8" s="55"/>
      <c r="I8" s="10"/>
      <c r="J8" s="10"/>
    </row>
    <row r="9" spans="1:10" ht="30" customHeight="1" x14ac:dyDescent="0.25">
      <c r="A9" s="26">
        <v>2</v>
      </c>
      <c r="B9" s="10" t="s">
        <v>655</v>
      </c>
      <c r="C9" s="27" t="str">
        <f>IFERROR(INDEX('Base Runes'!$D:$D,MATCH($B9,'Base Runes'!$A:$A,0)),"")</f>
        <v>Contain</v>
      </c>
      <c r="D9" s="30" t="str">
        <f>IFERROR(INDEX('Base Runes'!$E:$E,MATCH($B9,'Base Runes'!$A:$A,0)),"")</f>
        <v>🝧</v>
      </c>
      <c r="E9" s="10" t="s">
        <v>1274</v>
      </c>
      <c r="F9" s="55"/>
      <c r="G9" s="11" t="str">
        <f>IFERROR(INDEX('Base Runes'!$G:$G,MATCH($B9,'Base Runes'!$A:$A,0)),"")</f>
        <v>Spread</v>
      </c>
      <c r="H9" s="55"/>
      <c r="I9" s="10"/>
      <c r="J9" s="10"/>
    </row>
    <row r="10" spans="1:10" ht="30" customHeight="1" x14ac:dyDescent="0.25">
      <c r="A10" s="26">
        <v>3</v>
      </c>
      <c r="B10" s="10" t="s">
        <v>660</v>
      </c>
      <c r="C10" s="27" t="str">
        <f>IFERROR(INDEX('Base Runes'!$D:$D,MATCH($B10,'Base Runes'!$A:$A,0)),"")</f>
        <v>Fester</v>
      </c>
      <c r="D10" s="30" t="str">
        <f>IFERROR(INDEX('Base Runes'!$E:$E,MATCH($B10,'Base Runes'!$A:$A,0)),"")</f>
        <v>🝨</v>
      </c>
      <c r="E10" s="10" t="s">
        <v>1042</v>
      </c>
      <c r="F10" s="55"/>
      <c r="G10" s="11" t="str">
        <f>IFERROR(INDEX('Base Runes'!$G:$G,MATCH($B10,'Base Runes'!$A:$A,0)),"")</f>
        <v>Lance</v>
      </c>
      <c r="H10" s="55"/>
      <c r="I10" s="10"/>
      <c r="J10" s="10"/>
    </row>
    <row r="11" spans="1:10" ht="30" customHeight="1" x14ac:dyDescent="0.25">
      <c r="A11" s="26">
        <v>3</v>
      </c>
      <c r="B11" s="10" t="s">
        <v>663</v>
      </c>
      <c r="C11" s="27" t="str">
        <f>IFERROR(INDEX('Base Runes'!$D:$D,MATCH($B11,'Base Runes'!$A:$A,0)),"")</f>
        <v>Lance</v>
      </c>
      <c r="D11" s="30" t="str">
        <f>IFERROR(INDEX('Base Runes'!$E:$E,MATCH($B11,'Base Runes'!$A:$A,0)),"")</f>
        <v>🝩</v>
      </c>
      <c r="E11" s="10" t="s">
        <v>1275</v>
      </c>
      <c r="F11" s="55"/>
      <c r="G11" s="11" t="str">
        <f>IFERROR(INDEX('Base Runes'!$G:$G,MATCH($B11,'Base Runes'!$A:$A,0)),"")</f>
        <v>Fester</v>
      </c>
      <c r="H11" s="55"/>
      <c r="I11" s="10"/>
      <c r="J11" s="10"/>
    </row>
    <row r="12" spans="1:10" ht="30" customHeight="1" x14ac:dyDescent="0.25">
      <c r="A12" s="26">
        <v>4</v>
      </c>
      <c r="B12" s="10" t="s">
        <v>668</v>
      </c>
      <c r="C12" s="27" t="str">
        <f>IFERROR(INDEX('Base Runes'!$D:$D,MATCH($B12,'Base Runes'!$A:$A,0)),"")</f>
        <v>Billow</v>
      </c>
      <c r="D12" s="30" t="str">
        <f>IFERROR(INDEX('Base Runes'!$E:$E,MATCH($B12,'Base Runes'!$A:$A,0)),"")</f>
        <v>🝪</v>
      </c>
      <c r="E12" s="10" t="s">
        <v>1040</v>
      </c>
      <c r="F12" s="55"/>
      <c r="G12" s="11" t="str">
        <f>IFERROR(INDEX('Base Runes'!$G:$G,MATCH($B12,'Base Runes'!$A:$A,0)),"")</f>
        <v>Clear</v>
      </c>
      <c r="H12" s="55"/>
      <c r="I12" s="10"/>
      <c r="J12" s="10"/>
    </row>
    <row r="13" spans="1:10" ht="30" customHeight="1" x14ac:dyDescent="0.25">
      <c r="A13" s="26">
        <v>4</v>
      </c>
      <c r="B13" s="10" t="s">
        <v>670</v>
      </c>
      <c r="C13" s="27" t="str">
        <f>IFERROR(INDEX('Base Runes'!$D:$D,MATCH($B13,'Base Runes'!$A:$A,0)),"")</f>
        <v>Clear</v>
      </c>
      <c r="D13" s="30" t="str">
        <f>IFERROR(INDEX('Base Runes'!$E:$E,MATCH($B13,'Base Runes'!$A:$A,0)),"")</f>
        <v>🝫</v>
      </c>
      <c r="E13" s="10" t="s">
        <v>1041</v>
      </c>
      <c r="F13" s="55"/>
      <c r="G13" s="11" t="str">
        <f>IFERROR(INDEX('Base Runes'!$G:$G,MATCH($B13,'Base Runes'!$A:$A,0)),"")</f>
        <v>Billow</v>
      </c>
      <c r="H13" s="55"/>
      <c r="I13" s="10"/>
      <c r="J13" s="10"/>
    </row>
    <row r="14" spans="1:10" ht="30" customHeight="1" x14ac:dyDescent="0.25">
      <c r="A14" s="26">
        <v>5</v>
      </c>
      <c r="B14" s="10" t="s">
        <v>675</v>
      </c>
      <c r="C14" s="27" t="str">
        <f>IFERROR(INDEX('Base Runes'!$D:$D,MATCH($B14,'Base Runes'!$A:$A,0)),"")</f>
        <v>Overrun</v>
      </c>
      <c r="D14" s="30" t="str">
        <f>IFERROR(INDEX('Base Runes'!$E:$E,MATCH($B14,'Base Runes'!$A:$A,0)),"")</f>
        <v>🝬</v>
      </c>
      <c r="E14" s="10" t="s">
        <v>1276</v>
      </c>
      <c r="F14" s="55"/>
      <c r="G14" s="11" t="str">
        <f>IFERROR(INDEX('Base Runes'!$G:$G,MATCH($B14,'Base Runes'!$A:$A,0)),"")</f>
        <v>Immunise</v>
      </c>
      <c r="H14" s="55"/>
      <c r="I14" s="10"/>
      <c r="J14" s="10"/>
    </row>
    <row r="15" spans="1:10" ht="30" customHeight="1" x14ac:dyDescent="0.25">
      <c r="A15" s="26">
        <v>5</v>
      </c>
      <c r="B15" s="10" t="s">
        <v>677</v>
      </c>
      <c r="C15" s="27" t="str">
        <f>IFERROR(INDEX('Base Runes'!$D:$D,MATCH($B15,'Base Runes'!$A:$A,0)),"")</f>
        <v>Immunise</v>
      </c>
      <c r="D15" s="30" t="str">
        <f>IFERROR(INDEX('Base Runes'!$E:$E,MATCH($B15,'Base Runes'!$A:$A,0)),"")</f>
        <v>🝭</v>
      </c>
      <c r="E15" s="10" t="s">
        <v>1277</v>
      </c>
      <c r="F15" s="55"/>
      <c r="G15" s="11" t="str">
        <f>IFERROR(INDEX('Base Runes'!$G:$G,MATCH($B15,'Base Runes'!$A:$A,0)),"")</f>
        <v>Overrun</v>
      </c>
      <c r="H15" s="55"/>
      <c r="I15" s="10"/>
      <c r="J15" s="10"/>
    </row>
    <row r="17" spans="1:1" x14ac:dyDescent="0.25">
      <c r="A17" s="29" t="s">
        <v>927</v>
      </c>
    </row>
  </sheetData>
  <mergeCells count="2">
    <mergeCell ref="A3:J3"/>
    <mergeCell ref="A2:J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58E66-72D9-418F-A057-C953B478D617}">
  <dimension ref="A1:K19"/>
  <sheetViews>
    <sheetView workbookViewId="0"/>
  </sheetViews>
  <sheetFormatPr defaultRowHeight="12.75" x14ac:dyDescent="0.2"/>
  <cols>
    <col min="1" max="1" width="12.7109375" style="31" customWidth="1"/>
    <col min="2" max="11" width="14.7109375" style="31" customWidth="1"/>
    <col min="12" max="16384" width="9.140625" style="31"/>
  </cols>
  <sheetData>
    <row r="1" spans="1:11" x14ac:dyDescent="0.2">
      <c r="A1" s="32" t="s">
        <v>18</v>
      </c>
      <c r="B1" s="32" t="s">
        <v>1044</v>
      </c>
      <c r="C1" s="32" t="s">
        <v>1046</v>
      </c>
      <c r="D1" s="32" t="s">
        <v>1048</v>
      </c>
      <c r="E1" s="32" t="s">
        <v>1050</v>
      </c>
      <c r="F1" s="32" t="s">
        <v>1052</v>
      </c>
      <c r="G1" s="32" t="s">
        <v>1045</v>
      </c>
      <c r="H1" s="32" t="s">
        <v>1047</v>
      </c>
      <c r="I1" s="32" t="s">
        <v>1049</v>
      </c>
      <c r="J1" s="32" t="s">
        <v>1051</v>
      </c>
      <c r="K1" s="32" t="s">
        <v>1053</v>
      </c>
    </row>
    <row r="2" spans="1:11" x14ac:dyDescent="0.2">
      <c r="A2" s="31" t="str">
        <f>Affinities!$A$2</f>
        <v>Water</v>
      </c>
      <c r="B2" s="33">
        <v>7</v>
      </c>
      <c r="C2" s="33">
        <v>4</v>
      </c>
      <c r="D2" s="33">
        <v>15</v>
      </c>
      <c r="E2" s="33">
        <v>10</v>
      </c>
      <c r="F2" s="33">
        <v>16</v>
      </c>
      <c r="G2" s="31">
        <f t="shared" ref="G2:G17" si="0">(B2-10)/10</f>
        <v>-0.3</v>
      </c>
      <c r="H2" s="31">
        <f t="shared" ref="H2:H17" si="1">(C2-10)/10</f>
        <v>-0.6</v>
      </c>
      <c r="I2" s="31">
        <f t="shared" ref="I2:I17" si="2">(D2-10)/10</f>
        <v>0.5</v>
      </c>
      <c r="J2" s="31">
        <f t="shared" ref="J2:J17" si="3">(E2-10)/10</f>
        <v>0</v>
      </c>
      <c r="K2" s="31">
        <f t="shared" ref="K2:K17" si="4">(F2-10)/10</f>
        <v>0.6</v>
      </c>
    </row>
    <row r="3" spans="1:11" x14ac:dyDescent="0.2">
      <c r="A3" s="31" t="str">
        <f>Affinities!$A$3</f>
        <v>Fire</v>
      </c>
      <c r="B3" s="33">
        <v>20</v>
      </c>
      <c r="C3" s="33">
        <v>7</v>
      </c>
      <c r="D3" s="33">
        <v>10</v>
      </c>
      <c r="E3" s="33">
        <v>16</v>
      </c>
      <c r="F3" s="33">
        <v>10</v>
      </c>
      <c r="G3" s="31">
        <f t="shared" si="0"/>
        <v>1</v>
      </c>
      <c r="H3" s="31">
        <f t="shared" si="1"/>
        <v>-0.3</v>
      </c>
      <c r="I3" s="31">
        <f t="shared" si="2"/>
        <v>0</v>
      </c>
      <c r="J3" s="31">
        <f t="shared" si="3"/>
        <v>0.6</v>
      </c>
      <c r="K3" s="31">
        <f t="shared" si="4"/>
        <v>0</v>
      </c>
    </row>
    <row r="4" spans="1:11" x14ac:dyDescent="0.2">
      <c r="A4" s="31" t="str">
        <f>Affinities!$A$4</f>
        <v>Earth</v>
      </c>
      <c r="B4" s="33">
        <v>10</v>
      </c>
      <c r="C4" s="33">
        <v>20</v>
      </c>
      <c r="D4" s="33">
        <v>12</v>
      </c>
      <c r="E4" s="33">
        <v>8</v>
      </c>
      <c r="F4" s="33">
        <v>20</v>
      </c>
      <c r="G4" s="31">
        <f t="shared" si="0"/>
        <v>0</v>
      </c>
      <c r="H4" s="31">
        <f t="shared" si="1"/>
        <v>1</v>
      </c>
      <c r="I4" s="31">
        <f t="shared" si="2"/>
        <v>0.2</v>
      </c>
      <c r="J4" s="31">
        <f t="shared" si="3"/>
        <v>-0.2</v>
      </c>
      <c r="K4" s="31">
        <f t="shared" si="4"/>
        <v>1</v>
      </c>
    </row>
    <row r="5" spans="1:11" x14ac:dyDescent="0.2">
      <c r="A5" s="31" t="str">
        <f>Affinities!$A$5</f>
        <v>Wind</v>
      </c>
      <c r="B5" s="33">
        <v>10</v>
      </c>
      <c r="C5" s="33">
        <v>2</v>
      </c>
      <c r="D5" s="33">
        <v>12</v>
      </c>
      <c r="E5" s="33">
        <v>10</v>
      </c>
      <c r="F5" s="33">
        <v>14</v>
      </c>
      <c r="G5" s="31">
        <f t="shared" si="0"/>
        <v>0</v>
      </c>
      <c r="H5" s="31">
        <f t="shared" si="1"/>
        <v>-0.8</v>
      </c>
      <c r="I5" s="31">
        <f t="shared" si="2"/>
        <v>0.2</v>
      </c>
      <c r="J5" s="31">
        <f t="shared" si="3"/>
        <v>0</v>
      </c>
      <c r="K5" s="31">
        <f t="shared" si="4"/>
        <v>0.4</v>
      </c>
    </row>
    <row r="6" spans="1:11" x14ac:dyDescent="0.2">
      <c r="A6" s="31" t="str">
        <f>Affinities!$A$6</f>
        <v>Lightning</v>
      </c>
      <c r="B6" s="33">
        <v>16</v>
      </c>
      <c r="C6" s="33">
        <v>5</v>
      </c>
      <c r="D6" s="33">
        <v>10</v>
      </c>
      <c r="E6" s="33">
        <v>17</v>
      </c>
      <c r="F6" s="33">
        <v>9</v>
      </c>
      <c r="G6" s="31">
        <f t="shared" si="0"/>
        <v>0.6</v>
      </c>
      <c r="H6" s="31">
        <f t="shared" si="1"/>
        <v>-0.5</v>
      </c>
      <c r="I6" s="31">
        <f t="shared" si="2"/>
        <v>0</v>
      </c>
      <c r="J6" s="31">
        <f t="shared" si="3"/>
        <v>0.7</v>
      </c>
      <c r="K6" s="31">
        <f t="shared" si="4"/>
        <v>-0.1</v>
      </c>
    </row>
    <row r="7" spans="1:11" x14ac:dyDescent="0.2">
      <c r="A7" s="31" t="str">
        <f>Affinities!$A$7</f>
        <v>Ice</v>
      </c>
      <c r="B7" s="33">
        <v>0</v>
      </c>
      <c r="C7" s="33">
        <v>15</v>
      </c>
      <c r="D7" s="33">
        <v>7</v>
      </c>
      <c r="E7" s="33">
        <v>11</v>
      </c>
      <c r="F7" s="33">
        <v>12</v>
      </c>
      <c r="G7" s="31">
        <f t="shared" si="0"/>
        <v>-1</v>
      </c>
      <c r="H7" s="31">
        <f t="shared" si="1"/>
        <v>0.5</v>
      </c>
      <c r="I7" s="31">
        <f t="shared" si="2"/>
        <v>-0.3</v>
      </c>
      <c r="J7" s="31">
        <f t="shared" si="3"/>
        <v>0.1</v>
      </c>
      <c r="K7" s="31">
        <f t="shared" si="4"/>
        <v>0.2</v>
      </c>
    </row>
    <row r="8" spans="1:11" x14ac:dyDescent="0.2">
      <c r="A8" s="31" t="str">
        <f>Affinities!$A$8</f>
        <v>Dark</v>
      </c>
      <c r="B8" s="33">
        <v>7</v>
      </c>
      <c r="C8" s="33">
        <v>7</v>
      </c>
      <c r="D8" s="33">
        <v>8</v>
      </c>
      <c r="E8" s="33">
        <v>0</v>
      </c>
      <c r="F8" s="33">
        <v>6</v>
      </c>
      <c r="G8" s="31">
        <f t="shared" si="0"/>
        <v>-0.3</v>
      </c>
      <c r="H8" s="31">
        <f t="shared" si="1"/>
        <v>-0.3</v>
      </c>
      <c r="I8" s="31">
        <f t="shared" si="2"/>
        <v>-0.2</v>
      </c>
      <c r="J8" s="31">
        <f t="shared" si="3"/>
        <v>-1</v>
      </c>
      <c r="K8" s="31">
        <f t="shared" si="4"/>
        <v>-0.4</v>
      </c>
    </row>
    <row r="9" spans="1:11" x14ac:dyDescent="0.2">
      <c r="A9" s="31" t="str">
        <f>Affinities!$A$9</f>
        <v>Metal</v>
      </c>
      <c r="B9" s="33">
        <v>10</v>
      </c>
      <c r="C9" s="33">
        <v>18</v>
      </c>
      <c r="D9" s="33">
        <v>7</v>
      </c>
      <c r="E9" s="33">
        <v>12</v>
      </c>
      <c r="F9" s="33">
        <v>20</v>
      </c>
      <c r="G9" s="31">
        <f t="shared" si="0"/>
        <v>0</v>
      </c>
      <c r="H9" s="31">
        <f t="shared" si="1"/>
        <v>0.8</v>
      </c>
      <c r="I9" s="31">
        <f t="shared" si="2"/>
        <v>-0.3</v>
      </c>
      <c r="J9" s="31">
        <f t="shared" si="3"/>
        <v>0.2</v>
      </c>
      <c r="K9" s="31">
        <f t="shared" si="4"/>
        <v>1</v>
      </c>
    </row>
    <row r="10" spans="1:11" x14ac:dyDescent="0.2">
      <c r="A10" s="31" t="str">
        <f>Affinities!$A$10</f>
        <v>Blood</v>
      </c>
      <c r="B10" s="33">
        <v>13</v>
      </c>
      <c r="C10" s="33">
        <v>5</v>
      </c>
      <c r="D10" s="33">
        <v>16</v>
      </c>
      <c r="E10" s="33">
        <v>8</v>
      </c>
      <c r="F10" s="33">
        <v>18</v>
      </c>
      <c r="G10" s="31">
        <f t="shared" si="0"/>
        <v>0.3</v>
      </c>
      <c r="H10" s="31">
        <f t="shared" si="1"/>
        <v>-0.5</v>
      </c>
      <c r="I10" s="31">
        <f t="shared" si="2"/>
        <v>0.6</v>
      </c>
      <c r="J10" s="31">
        <f t="shared" si="3"/>
        <v>-0.2</v>
      </c>
      <c r="K10" s="31">
        <f t="shared" si="4"/>
        <v>0.8</v>
      </c>
    </row>
    <row r="11" spans="1:11" x14ac:dyDescent="0.2">
      <c r="A11" s="31" t="str">
        <f>Affinities!$A$11</f>
        <v>Life</v>
      </c>
      <c r="B11" s="33">
        <v>13</v>
      </c>
      <c r="C11" s="33">
        <v>10</v>
      </c>
      <c r="D11" s="33">
        <v>20</v>
      </c>
      <c r="E11" s="33">
        <v>12</v>
      </c>
      <c r="F11" s="33">
        <v>14</v>
      </c>
      <c r="G11" s="31">
        <f t="shared" si="0"/>
        <v>0.3</v>
      </c>
      <c r="H11" s="31">
        <f t="shared" si="1"/>
        <v>0</v>
      </c>
      <c r="I11" s="31">
        <f t="shared" si="2"/>
        <v>1</v>
      </c>
      <c r="J11" s="31">
        <f t="shared" si="3"/>
        <v>0.2</v>
      </c>
      <c r="K11" s="31">
        <f t="shared" si="4"/>
        <v>0.4</v>
      </c>
    </row>
    <row r="12" spans="1:11" x14ac:dyDescent="0.2">
      <c r="A12" s="31" t="str">
        <f>Affinities!$A$12</f>
        <v>Death</v>
      </c>
      <c r="B12" s="33">
        <v>5</v>
      </c>
      <c r="C12" s="33">
        <v>12</v>
      </c>
      <c r="D12" s="33">
        <v>0</v>
      </c>
      <c r="E12" s="33">
        <v>6</v>
      </c>
      <c r="F12" s="33">
        <v>10</v>
      </c>
      <c r="G12" s="31">
        <f t="shared" si="0"/>
        <v>-0.5</v>
      </c>
      <c r="H12" s="31">
        <f t="shared" si="1"/>
        <v>0.2</v>
      </c>
      <c r="I12" s="31">
        <f t="shared" si="2"/>
        <v>-1</v>
      </c>
      <c r="J12" s="31">
        <f t="shared" si="3"/>
        <v>-0.4</v>
      </c>
      <c r="K12" s="31">
        <f t="shared" si="4"/>
        <v>0</v>
      </c>
    </row>
    <row r="13" spans="1:11" x14ac:dyDescent="0.2">
      <c r="A13" s="31" t="str">
        <f>Affinities!$A$13</f>
        <v>Nature</v>
      </c>
      <c r="B13" s="33">
        <v>10</v>
      </c>
      <c r="C13" s="33">
        <v>12</v>
      </c>
      <c r="D13" s="33">
        <v>20</v>
      </c>
      <c r="E13" s="33">
        <v>11</v>
      </c>
      <c r="F13" s="33">
        <v>15</v>
      </c>
      <c r="G13" s="31">
        <f t="shared" si="0"/>
        <v>0</v>
      </c>
      <c r="H13" s="31">
        <f t="shared" si="1"/>
        <v>0.2</v>
      </c>
      <c r="I13" s="31">
        <f t="shared" si="2"/>
        <v>1</v>
      </c>
      <c r="J13" s="31">
        <f t="shared" si="3"/>
        <v>0.1</v>
      </c>
      <c r="K13" s="31">
        <f t="shared" si="4"/>
        <v>0.5</v>
      </c>
    </row>
    <row r="14" spans="1:11" x14ac:dyDescent="0.2">
      <c r="A14" s="31" t="str">
        <f>Affinities!$A$14</f>
        <v>Light</v>
      </c>
      <c r="B14" s="33">
        <v>14</v>
      </c>
      <c r="C14" s="33">
        <v>6</v>
      </c>
      <c r="D14" s="33">
        <v>13</v>
      </c>
      <c r="E14" s="33">
        <v>20</v>
      </c>
      <c r="F14" s="33">
        <v>10</v>
      </c>
      <c r="G14" s="31">
        <f t="shared" si="0"/>
        <v>0.4</v>
      </c>
      <c r="H14" s="31">
        <f t="shared" si="1"/>
        <v>-0.4</v>
      </c>
      <c r="I14" s="31">
        <f t="shared" si="2"/>
        <v>0.3</v>
      </c>
      <c r="J14" s="31">
        <f t="shared" si="3"/>
        <v>1</v>
      </c>
      <c r="K14" s="31">
        <f t="shared" si="4"/>
        <v>0</v>
      </c>
    </row>
    <row r="15" spans="1:11" x14ac:dyDescent="0.2">
      <c r="A15" s="31" t="str">
        <f>Affinities!$A$15</f>
        <v>Dream</v>
      </c>
      <c r="B15" s="33">
        <v>10</v>
      </c>
      <c r="C15" s="33">
        <v>4</v>
      </c>
      <c r="D15" s="33">
        <v>10</v>
      </c>
      <c r="E15" s="33">
        <v>4</v>
      </c>
      <c r="F15" s="33">
        <v>0</v>
      </c>
      <c r="G15" s="31">
        <f t="shared" si="0"/>
        <v>0</v>
      </c>
      <c r="H15" s="31">
        <f t="shared" si="1"/>
        <v>-0.6</v>
      </c>
      <c r="I15" s="31">
        <f t="shared" si="2"/>
        <v>0</v>
      </c>
      <c r="J15" s="31">
        <f t="shared" si="3"/>
        <v>-0.6</v>
      </c>
      <c r="K15" s="31">
        <f t="shared" si="4"/>
        <v>-1</v>
      </c>
    </row>
    <row r="16" spans="1:11" x14ac:dyDescent="0.2">
      <c r="A16" s="31" t="str">
        <f>Affinities!$A$16</f>
        <v>Poison</v>
      </c>
      <c r="B16" s="33">
        <v>10</v>
      </c>
      <c r="C16" s="33">
        <v>7</v>
      </c>
      <c r="D16" s="33">
        <v>2</v>
      </c>
      <c r="E16" s="33">
        <v>4</v>
      </c>
      <c r="F16" s="33">
        <v>14</v>
      </c>
      <c r="G16" s="31">
        <f t="shared" si="0"/>
        <v>0</v>
      </c>
      <c r="H16" s="31">
        <f t="shared" si="1"/>
        <v>-0.3</v>
      </c>
      <c r="I16" s="31">
        <f t="shared" si="2"/>
        <v>-0.8</v>
      </c>
      <c r="J16" s="31">
        <f t="shared" si="3"/>
        <v>-0.6</v>
      </c>
      <c r="K16" s="31">
        <f t="shared" si="4"/>
        <v>0.4</v>
      </c>
    </row>
    <row r="17" spans="1:11" x14ac:dyDescent="0.2">
      <c r="A17" s="31" t="str">
        <f>Affinities!$A$17</f>
        <v>Disease</v>
      </c>
      <c r="B17" s="33">
        <v>12</v>
      </c>
      <c r="C17" s="33">
        <v>5</v>
      </c>
      <c r="D17" s="33">
        <v>0</v>
      </c>
      <c r="E17" s="33">
        <v>7</v>
      </c>
      <c r="F17" s="33">
        <v>13</v>
      </c>
      <c r="G17" s="31">
        <f t="shared" si="0"/>
        <v>0.2</v>
      </c>
      <c r="H17" s="31">
        <f t="shared" si="1"/>
        <v>-0.5</v>
      </c>
      <c r="I17" s="31">
        <f t="shared" si="2"/>
        <v>-1</v>
      </c>
      <c r="J17" s="31">
        <f t="shared" si="3"/>
        <v>-0.3</v>
      </c>
      <c r="K17" s="31">
        <f t="shared" si="4"/>
        <v>0.3</v>
      </c>
    </row>
    <row r="19" spans="1:11" x14ac:dyDescent="0.2">
      <c r="A19" s="34" t="s">
        <v>1054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 Me</vt:lpstr>
      <vt:lpstr>Affinities</vt:lpstr>
      <vt:lpstr>Alignment</vt:lpstr>
      <vt:lpstr>Base Runes</vt:lpstr>
      <vt:lpstr>Universal Runes</vt:lpstr>
      <vt:lpstr>Bond Rules</vt:lpstr>
      <vt:lpstr>Water</vt:lpstr>
      <vt:lpstr>Fire</vt:lpstr>
      <vt:lpstr>Earth</vt:lpstr>
      <vt:lpstr>Wind</vt:lpstr>
      <vt:lpstr>Lightning</vt:lpstr>
      <vt:lpstr>Ice</vt:lpstr>
      <vt:lpstr>Dark</vt:lpstr>
      <vt:lpstr>Metal</vt:lpstr>
      <vt:lpstr>Blood</vt:lpstr>
      <vt:lpstr>Life</vt:lpstr>
      <vt:lpstr>Death</vt:lpstr>
      <vt:lpstr>Nature</vt:lpstr>
      <vt:lpstr>Light</vt:lpstr>
      <vt:lpstr>Dream</vt:lpstr>
      <vt:lpstr>Poison</vt:lpstr>
      <vt:lpstr>Disease</vt:lpstr>
      <vt:lpstr>Slider 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Brent Jackson</cp:lastModifiedBy>
  <dcterms:created xsi:type="dcterms:W3CDTF">2026-10-22T16:28:58Z</dcterms:created>
  <dcterms:modified xsi:type="dcterms:W3CDTF">2026-10-22T20:53:14Z</dcterms:modified>
</cp:coreProperties>
</file>